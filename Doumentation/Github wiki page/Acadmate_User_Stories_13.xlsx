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https://d.docs.live.net/0ae46a4f0aa76adb/Desktop/F2026-Team3/.claude/userstory/"/>
    </mc:Choice>
  </mc:AlternateContent>
  <xr:revisionPtr revIDLastSave="4" documentId="11_A94DFD476C4606A7EEEE5C143444825682821125" xr6:coauthVersionLast="47" xr6:coauthVersionMax="47" xr10:uidLastSave="{34740587-A53A-42C5-9CDD-23868CD5F471}"/>
  <bookViews>
    <workbookView xWindow="-108" yWindow="-108" windowWidth="23256" windowHeight="12456" xr2:uid="{00000000-000D-0000-FFFF-FFFF00000000}"/>
  </bookViews>
  <sheets>
    <sheet name="User Stories" sheetId="1" r:id="rId1"/>
    <sheet name="Summary" sheetId="2" r:id="rId2"/>
  </sheets>
  <definedNames>
    <definedName name="_xlnm._FilterDatabase" localSheetId="0" hidden="1">'User Stories'!$A$1:$H$14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6" i="2" l="1"/>
  <c r="E6" i="2"/>
  <c r="D6" i="2"/>
  <c r="C6" i="2"/>
  <c r="B6" i="2"/>
  <c r="F5" i="2"/>
  <c r="E5" i="2"/>
  <c r="D5" i="2"/>
  <c r="C5" i="2"/>
  <c r="B5" i="2"/>
  <c r="F4" i="2"/>
  <c r="E4" i="2"/>
  <c r="D4" i="2"/>
  <c r="D7" i="2" s="1"/>
  <c r="C4" i="2"/>
  <c r="B4" i="2"/>
  <c r="E7" i="2" l="1"/>
  <c r="F7" i="2"/>
  <c r="B7" i="2"/>
  <c r="C7" i="2"/>
</calcChain>
</file>

<file path=xl/sharedStrings.xml><?xml version="1.0" encoding="utf-8"?>
<sst xmlns="http://schemas.openxmlformats.org/spreadsheetml/2006/main" count="115" uniqueCount="87">
  <si>
    <t>ID</t>
  </si>
  <si>
    <t>Epic</t>
  </si>
  <si>
    <t>Feature</t>
  </si>
  <si>
    <t>Component</t>
  </si>
  <si>
    <t>User Story</t>
  </si>
  <si>
    <t>Acceptance Criteria</t>
  </si>
  <si>
    <t>Story Points</t>
  </si>
  <si>
    <t>Priority</t>
  </si>
  <si>
    <t>E1 · Authentication &amp; Access</t>
  </si>
  <si>
    <t>US-01</t>
  </si>
  <si>
    <t>Sign-in, sessions &amp; navigation (specs 02, 03)</t>
  </si>
  <si>
    <t>pages/auth/Login.jsx · components/layout/AppShell.jsx · config/nav.js · services/auth.py</t>
  </si>
  <si>
    <t>As a user, I want to sign in securely with my school email and land on a sidebar built for my role, so that I can reach my screens quickly and safely.</t>
  </si>
  <si>
    <t>1. Given I am a seeded student with a valid password, when I sign in, then a session cookie is set and I land on /student with the student sidebar.
2. Given I enter a wrong password 5 times, when I try again, then I get 429 Too many attempts and a failed sign-in is audited.
3. Given I don't tick Keep me signed in, when I stay idle past the institution's timeout, then my next request returns 401.
4. Given I have unread messages or due items, when the sidebar loads, then badges show the counts.
5. Given I click Sign out, when I press Back, then no protected data is shown.</t>
  </si>
  <si>
    <t>High</t>
  </si>
  <si>
    <t>US-02</t>
  </si>
  <si>
    <t>Account setup &amp; recovery (spec 02)</t>
  </si>
  <si>
    <t>pages/auth/Login.jsx · routers/auth.py · services/auth.py</t>
  </si>
  <si>
    <t>As a new or locked-out user, I want to sign up, accept an invite or reset my password by email, so that I can get into Acadmate on my own.</t>
  </si>
  <si>
    <t>1. Given self sign-up is on, when I sign up with a @pac.edu email, then a student account is created and I am signed in.
2. Given an admin invited me, when I open the 7-day invite link and choose a password, then my account becomes Active.
3. Given I request a password reset, when I submit any email, then I always see "Check your email" so accounts can't be discovered.
4. Given I use a 30-minute reset link, when I set a new password, then my old sessions are revoked; a used or expired link is rejected.</t>
  </si>
  <si>
    <t>E2 · Student Experience</t>
  </si>
  <si>
    <t>US-03</t>
  </si>
  <si>
    <t>Dashboard, courses &amp; grades (specs 10, 11)</t>
  </si>
  <si>
    <t>pages/student/Dashboard.jsx · pages/student/Courses.jsx · services/dashboard · services/courses.py</t>
  </si>
  <si>
    <t>As a student, I want a dashboard with my GPA, today's schedule and deadlines, plus a grade breakdown for every course, so that I know where I stand as soon as I sign in.</t>
  </si>
  <si>
    <t>1. Given I am Amara, when I open the dashboard, then I see GPA 3.73 with a per-term chart, 21 / 36 credits and today's classes and meeting in time order.
2. Given I have a registration or capstone-form alert, when the dashboard loads, then a banner tells me what to do.
3. Given I open My courses, when the tabs load, then they show 3 current, 7 completed and 2 planned courses.
4. Given I select CS 608, when the detail loads, then I see each graded item and a weighted score of 87.8 (B+).</t>
  </si>
  <si>
    <t>US-04</t>
  </si>
  <si>
    <t>Degree plan &amp; approval (spec 12)</t>
  </si>
  <si>
    <t>pages/student/DegreePlan.jsx · services/degree_audit.py · services/plan.py</t>
  </si>
  <si>
    <t>As a student, I want a degree audit and a future-term roadmap I can submit for approval, so that I know what I still need and my advisor confirms my plan before registration.</t>
  </si>
  <si>
    <t>1. Given I am Amara, when I open Degree plan, then each requirement group shows its progress (Electives: 1 of 5 done · 3 in progress).
2. Given a course's prerequisite is missing or it isn't offered in the term, when I add it, then I am told why it can't be added.
3. Given my Spring 2027 plan has no blocking prerequisites, when I submit it, then its rows become Pending approval.
4. Given I submitted, when my advisor looks at the sidebar, then their approvals badge increases and they get a notice.</t>
  </si>
  <si>
    <t>US-05</t>
  </si>
  <si>
    <t>AI advisor (spec 13)</t>
  </si>
  <si>
    <t>pages/student/AiAdvisor.jsx · services/ai/ (guard, claude_engine, rules_engine, plans)</t>
  </si>
  <si>
    <t>As a student, I want to ask an AI advisor about my courses and plan, with sensitive topics handed to a human, so that I get quick, personal and safe advice at any time.</t>
  </si>
  <si>
    <t>1. Given the engine is Claude, when I ask "Plan my Spring 2027 semester", then the answer uses my real data and only offered courses.
2. Given Claude errors, times out or no key is set, when I ask, then the rule-based engine answers instead.
3. Given I ask about a blocked topic such as my visa, when it is answered, then I get a handoff to book a meeting and no model call is made.
4. Given I reload the page, when I open a thread, then my conversation is still there.
5. Given I report a wrong answer, when I submit, then an Open flag appears for admins.</t>
  </si>
  <si>
    <t>US-06</t>
  </si>
  <si>
    <t>Schedule &amp; assignments (specs 14, 15)</t>
  </si>
  <si>
    <t>pages/student/Schedule.jsx · pages/student/Assignments.jsx · services/calendar.py · services/assignments.py</t>
  </si>
  <si>
    <t>As a student, I want one weekly calendar of classes, meetings, events and deadlines, and a list of my assignments by status, so that I can plan my week and finish work on time.</t>
  </si>
  <si>
    <t>1. Given I am Amara, when I open Schedule, then I see my class meetings, booked meetings, personal events and due dates for the week.
2. Given I add a personal event with a valid time, when I save, then it appears in the week; an end before the start shows a field error.
3. Given I open Assignments, when I filter by course, then only that course's items remain, grouped by status.
4. Given I submit the capstone form, when it saves, then a pending approval is created for my advisor and the degree audit counts it.</t>
  </si>
  <si>
    <t>US-07</t>
  </si>
  <si>
    <t>Messages &amp; notices (spec 16)</t>
  </si>
  <si>
    <t>pages/student/Messages.jsx · components/messages/* · services/messages.py</t>
  </si>
  <si>
    <t>As a user, I want to message my advisor, instructors and classmates and receive system notices in one inbox, so that all advising communication stays in the app.</t>
  </si>
  <si>
    <t>1. Given I am Amara, when I open Messages, then I see 5 conversations with unread counts, and opening one clears its count.
2. Given I start a new conversation, when I search contacts, then only allowed contacts (advisor, instructors, classmates, support) are offered.
3. Given a meeting or approval changes, when it saves, then a notice appears in my read-only Acadmate conversation.</t>
  </si>
  <si>
    <t>Medium</t>
  </si>
  <si>
    <t>US-08</t>
  </si>
  <si>
    <t>Book a meeting (spec 18)</t>
  </si>
  <si>
    <t>pages/student/BookMeeting.jsx · services/meetings.py · /staff · /meetings</t>
  </si>
  <si>
    <t>As a student, I want to book a free 30-minute slot with my advisor or other staff and manage my upcoming meetings, so that I get help without emailing back and forth.</t>
  </si>
  <si>
    <t>1. Given I have class on Thursday 10:00–12:45, when I view a staff member's week, then those slots are shown as taken.
2. Given I pick a free slot and a topic, when I book, then the meeting is Confirmed or Requested and the staff member is notified.
3. Given two students book the same slot at once, when both submit, then one gets 409 "That time was just taken".
4. Given my advisor proposes a new time, when I open Meetings, then I can accept it or cancel the meeting.</t>
  </si>
  <si>
    <t>US-09</t>
  </si>
  <si>
    <t>Student settings &amp; privacy (spec 17)</t>
  </si>
  <si>
    <t>pages/student/Settings.jsx · services/users.py · services/preferences.py</t>
  </si>
  <si>
    <t>As a student, I want to edit my profile and control what the AI may use, export my data or delete my account, so that I stay in control of my personal information.</t>
  </si>
  <si>
    <t>1. Given I change my preferred name, when I save, then the dashboard greeting uses it.
2. Given I turn off Use my grades, when I open the AI advisor, then Grades is no longer a data source.
3. Given I click Export, when the download finishes, then I get a JSON file with my profile, plan and AI threads.
4. Given I delete my account with the correct password, when I confirm, then I can't sign in again and my academic records stay anonymised.</t>
  </si>
  <si>
    <t>E3 · Administration</t>
  </si>
  <si>
    <t>US-10</t>
  </si>
  <si>
    <t>Overview &amp; audit log (specs 30, 36)</t>
  </si>
  <si>
    <t>pages/admin/Overview.jsx · pages/admin/AuditLog.jsx · services/admin_overview.py · services/audit.py</t>
  </si>
  <si>
    <t>As an admin, I want a platform overview and a searchable audit log of every change, so that I can see how Acadmate is used and answer who did what and when.</t>
  </si>
  <si>
    <t>1. Given I am an admin, when I open /admin, then usage, advisor workload, System status and open AI flags render from seeded data.
2. Given someone makes a change, when I open the audit log, then the event is listed newest first with actor, action, result and field changes.
3. Given I filter by role, date range and text, when I export CSV, then only matching rows are exported and the export is audited.
4. Given I am not an admin, when I call either API, then I get 403.</t>
  </si>
  <si>
    <t>US-11</t>
  </si>
  <si>
    <t>Users &amp; advisors (specs 31, 32)</t>
  </si>
  <si>
    <t>pages/admin/Users.jsx · pages/admin/Advisors.jsx · services/admin_users.py · services/admin_advisors.py</t>
  </si>
  <si>
    <t>As an admin, I want to invite, import and manage users and balance advisor workloads, so that accounts stay correct and no advisor is overloaded.</t>
  </si>
  <si>
    <t>1. Given I invite a list of emails or import a CSV, when I submit, then each new user gets a 7-day invite and bad rows are reported by line.
2. Given I deactivate a signed-in student, when they make their next request, then they get 401.
3. Given Prof. Kim has 3 advisees and capacity 2, when I open Advisors, then he is shown as Over capacity.
4. Given I reassign advisees, when I confirm, then their pending approvals follow them and each student and both advisors are notified.</t>
  </si>
  <si>
    <t>US-12</t>
  </si>
  <si>
    <t>Catalog &amp; data integrations (specs 33, 35)</t>
  </si>
  <si>
    <t>pages/admin/Catalog.jsx · pages/admin/Integrations.jsx · services/admin_catalog.py · services/imports.py · services/api_keys.py</t>
  </si>
  <si>
    <t>As an admin, I want to edit the course catalog as drafts, publish it at once and sync data from CSV, mail and reporting tools, so that students, plans and the AI always use current, correct data.</t>
  </si>
  <si>
    <t>1. Given I mark CS 650 not offered in Spring 2027, when I save, then it is stored as a draft and students still see the published value.
2. Given I click Publish, when it runs, then all drafts apply in one transaction and the AI stops suggesting unoffered courses.
3. Given a prerequisite would create a cycle, when I save, then I get a 400 message.
4. Given the CSV integration is connected, when I upload a grades CSV, then student GPAs update and invalid rows are skipped by line.
5. Given I generate an API key, when it is created, then the full key is shown once and only the last 4 characters afterwards.</t>
  </si>
  <si>
    <t>US-13</t>
  </si>
  <si>
    <t>AI &amp; institution settings (specs 34, 37)</t>
  </si>
  <si>
    <t>pages/admin/AiSettings.jsx · pages/admin/Settings.jsx · services/ai/settings.py · services/settings.py</t>
  </si>
  <si>
    <t>As an admin, I want to control AI features, blocked topics and institution settings such as domain, term, time zone, security and retention, so that Acadmate follows our school's policies.</t>
  </si>
  <si>
    <t>1. Given I turn off the AI advisor or the Grades source, when a student uses the AI, then it is blocked or no grades are used.
2. Given I test a question in the test box, when it is answered, then it uses my unsaved settings and nothing is stored.
3. Given I change the email domain or session timeout, when I save, then sign-up and sign-out follow the new values and one settings.update is audited.
4. Given AI retention is 30 days, when the daily prune job runs, then older AI threads are deleted.
5. Given DEMO_MODE is true, when I reset demo data, then all tables are reseeded and I stay signed in.</t>
  </si>
  <si>
    <t>Acadmate · User stories summary</t>
  </si>
  <si>
    <t>Stories</t>
  </si>
  <si>
    <t>Low</t>
  </si>
  <si>
    <t>Total</t>
  </si>
  <si>
    <t>Condensed for the presentation: 69 detailed stories merged into 13, one per feature area. Column I of User Stories lists the original IDs each story covers.</t>
  </si>
  <si>
    <t>Scope: features built so far (specs 02 Phase A, 03, 10–18, 30–37). Advisor screens (specs 20–27) and two-step / Google sign-in (spec 02 Phase B) are not built yet.</t>
  </si>
  <si>
    <t>Story points: Fibonacci (1, 2, 3, 5, 8, 13), sized by the frontend + backend effort of the implementation.</t>
  </si>
  <si>
    <t>Priority: High = core flow, Medium = supporting flow, Low = convenience.</t>
  </si>
  <si>
    <t>All names and figures are invented demo data (seed), not real student records.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</si>
</sst>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rgb="FFFFFFFF"/>
      <name val="Calibri"/>
    </font>
    <font>
      <b/>
      <sz val="11"/>
      <name val="Calibri"/>
    </font>
    <font>
      <b/>
      <sz val="14"/>
      <color rgb="FF13212E"/>
      <name val="Calibri"/>
    </font>
  </fonts>
  <fills count="6">
    <fill>
      <patternFill patternType="none"/>
    </fill>
    <fill>
      <patternFill patternType="gray125"/>
    </fill>
    <fill>
      <patternFill patternType="solid">
        <fgColor rgb="FF13212E"/>
      </patternFill>
    </fill>
    <fill>
      <patternFill patternType="solid">
        <fgColor rgb="FFD9EEEC"/>
      </patternFill>
    </fill>
    <fill>
      <patternFill patternType="solid">
        <fgColor rgb="FFF8D7DA"/>
      </patternFill>
    </fill>
    <fill>
      <patternFill patternType="solid">
        <fgColor rgb="FFFFF3CD"/>
      </patternFill>
    </fill>
  </fills>
  <borders count="2">
    <border>
      <left/>
      <right/>
      <top/>
      <bottom/>
      <diagonal/>
    </border>
    <border>
      <left style="thin">
        <color rgb="FFBFC7CF"/>
      </left>
      <right style="thin">
        <color rgb="FFBFC7CF"/>
      </right>
      <top style="thin">
        <color rgb="FFBFC7CF"/>
      </top>
      <bottom style="thin">
        <color rgb="FFBFC7CF"/>
      </bottom>
      <diagonal/>
    </border>
  </borders>
  <cellStyleXfs count="1">
    <xf numFmtId="0" fontId="0" fillId="0" borderId="0"/>
  </cellStyleXfs>
  <cellXfs count="9">
    <xf numFmtId="0" fontId="0" fillId="0" borderId="0" xfId="0"/>
    <xf numFmtId="0" fontId="1" fillId="2" borderId="1" xfId="0" applyFont="1" applyFill="1" applyBorder="1" applyAlignment="1">
      <alignment vertical="center" wrapText="1"/>
    </xf>
    <xf numFmtId="0" fontId="0" fillId="0" borderId="1" xfId="0" applyBorder="1" applyAlignment="1">
      <alignment horizontal="center" vertical="top"/>
    </xf>
    <xf numFmtId="0" fontId="0" fillId="0" borderId="1" xfId="0" applyBorder="1" applyAlignment="1">
      <alignment vertical="top" wrapText="1"/>
    </xf>
    <xf numFmtId="0" fontId="2" fillId="4" borderId="1" xfId="0" applyFont="1" applyFill="1" applyBorder="1" applyAlignment="1">
      <alignment horizontal="center" vertical="top"/>
    </xf>
    <xf numFmtId="0" fontId="2" fillId="5" borderId="1" xfId="0" applyFont="1" applyFill="1" applyBorder="1" applyAlignment="1">
      <alignment horizontal="center" vertical="top"/>
    </xf>
    <xf numFmtId="0" fontId="3" fillId="0" borderId="0" xfId="0" applyFont="1"/>
    <xf numFmtId="0" fontId="1" fillId="2" borderId="1" xfId="0" applyFont="1" applyFill="1" applyBorder="1"/>
    <xf numFmtId="0" fontId="2" fillId="3" borderId="1" xfId="0" applyFont="1" applyFill="1" applyBorder="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70"/>
  <sheetViews>
    <sheetView tabSelected="1" zoomScale="69" workbookViewId="0">
      <pane ySplit="1" topLeftCell="A25" activePane="bottomLeft" state="frozen"/>
      <selection pane="bottomLeft" activeCell="I1" sqref="I1:I1048576"/>
    </sheetView>
  </sheetViews>
  <sheetFormatPr defaultRowHeight="14.4" x14ac:dyDescent="0.3"/>
  <cols>
    <col min="1" max="1" width="9" customWidth="1"/>
    <col min="2" max="2" width="26" customWidth="1"/>
    <col min="3" max="3" width="30" customWidth="1"/>
    <col min="4" max="4" width="44" customWidth="1"/>
    <col min="5" max="5" width="58" customWidth="1"/>
    <col min="6" max="6" width="90" customWidth="1"/>
    <col min="7" max="7" width="12" customWidth="1"/>
    <col min="8" max="8" width="11" customWidth="1"/>
  </cols>
  <sheetData>
    <row r="1" spans="1:8" x14ac:dyDescent="0.3">
      <c r="A1" s="1" t="s">
        <v>0</v>
      </c>
      <c r="B1" s="1" t="s">
        <v>1</v>
      </c>
      <c r="C1" s="1" t="s">
        <v>2</v>
      </c>
      <c r="D1" s="1" t="s">
        <v>3</v>
      </c>
      <c r="E1" s="1" t="s">
        <v>4</v>
      </c>
      <c r="F1" s="1" t="s">
        <v>5</v>
      </c>
      <c r="G1" s="1" t="s">
        <v>6</v>
      </c>
      <c r="H1" s="1" t="s">
        <v>7</v>
      </c>
    </row>
    <row r="2" spans="1:8" ht="165" customHeight="1" x14ac:dyDescent="0.3">
      <c r="A2" s="2" t="s">
        <v>9</v>
      </c>
      <c r="B2" s="3" t="s">
        <v>8</v>
      </c>
      <c r="C2" s="3" t="s">
        <v>10</v>
      </c>
      <c r="D2" s="3" t="s">
        <v>11</v>
      </c>
      <c r="E2" s="3" t="s">
        <v>12</v>
      </c>
      <c r="F2" s="3" t="s">
        <v>13</v>
      </c>
      <c r="G2" s="2">
        <v>8</v>
      </c>
      <c r="H2" s="4" t="s">
        <v>14</v>
      </c>
    </row>
    <row r="3" spans="1:8" ht="135" customHeight="1" x14ac:dyDescent="0.3">
      <c r="A3" s="2" t="s">
        <v>15</v>
      </c>
      <c r="B3" s="3" t="s">
        <v>8</v>
      </c>
      <c r="C3" s="3" t="s">
        <v>16</v>
      </c>
      <c r="D3" s="3" t="s">
        <v>17</v>
      </c>
      <c r="E3" s="3" t="s">
        <v>18</v>
      </c>
      <c r="F3" s="3" t="s">
        <v>19</v>
      </c>
      <c r="G3" s="2">
        <v>5</v>
      </c>
      <c r="H3" s="4" t="s">
        <v>14</v>
      </c>
    </row>
    <row r="4" spans="1:8" ht="135" customHeight="1" x14ac:dyDescent="0.3">
      <c r="A4" s="2" t="s">
        <v>21</v>
      </c>
      <c r="B4" s="3" t="s">
        <v>20</v>
      </c>
      <c r="C4" s="3" t="s">
        <v>22</v>
      </c>
      <c r="D4" s="3" t="s">
        <v>23</v>
      </c>
      <c r="E4" s="3" t="s">
        <v>24</v>
      </c>
      <c r="F4" s="3" t="s">
        <v>25</v>
      </c>
      <c r="G4" s="2">
        <v>8</v>
      </c>
      <c r="H4" s="4" t="s">
        <v>14</v>
      </c>
    </row>
    <row r="5" spans="1:8" ht="135" customHeight="1" x14ac:dyDescent="0.3">
      <c r="A5" s="2" t="s">
        <v>26</v>
      </c>
      <c r="B5" s="3" t="s">
        <v>20</v>
      </c>
      <c r="C5" s="3" t="s">
        <v>27</v>
      </c>
      <c r="D5" s="3" t="s">
        <v>28</v>
      </c>
      <c r="E5" s="3" t="s">
        <v>29</v>
      </c>
      <c r="F5" s="3" t="s">
        <v>30</v>
      </c>
      <c r="G5" s="2">
        <v>8</v>
      </c>
      <c r="H5" s="4" t="s">
        <v>14</v>
      </c>
    </row>
    <row r="6" spans="1:8" ht="165" customHeight="1" x14ac:dyDescent="0.3">
      <c r="A6" s="2" t="s">
        <v>31</v>
      </c>
      <c r="B6" s="3" t="s">
        <v>20</v>
      </c>
      <c r="C6" s="3" t="s">
        <v>32</v>
      </c>
      <c r="D6" s="3" t="s">
        <v>33</v>
      </c>
      <c r="E6" s="3" t="s">
        <v>34</v>
      </c>
      <c r="F6" s="3" t="s">
        <v>35</v>
      </c>
      <c r="G6" s="2">
        <v>13</v>
      </c>
      <c r="H6" s="4" t="s">
        <v>14</v>
      </c>
    </row>
    <row r="7" spans="1:8" ht="135" customHeight="1" x14ac:dyDescent="0.3">
      <c r="A7" s="2" t="s">
        <v>36</v>
      </c>
      <c r="B7" s="3" t="s">
        <v>20</v>
      </c>
      <c r="C7" s="3" t="s">
        <v>37</v>
      </c>
      <c r="D7" s="3" t="s">
        <v>38</v>
      </c>
      <c r="E7" s="3" t="s">
        <v>39</v>
      </c>
      <c r="F7" s="3" t="s">
        <v>40</v>
      </c>
      <c r="G7" s="2">
        <v>8</v>
      </c>
      <c r="H7" s="4" t="s">
        <v>14</v>
      </c>
    </row>
    <row r="8" spans="1:8" ht="105" customHeight="1" x14ac:dyDescent="0.3">
      <c r="A8" s="2" t="s">
        <v>41</v>
      </c>
      <c r="B8" s="3" t="s">
        <v>20</v>
      </c>
      <c r="C8" s="3" t="s">
        <v>42</v>
      </c>
      <c r="D8" s="3" t="s">
        <v>43</v>
      </c>
      <c r="E8" s="3" t="s">
        <v>44</v>
      </c>
      <c r="F8" s="3" t="s">
        <v>45</v>
      </c>
      <c r="G8" s="2">
        <v>5</v>
      </c>
      <c r="H8" s="5" t="s">
        <v>46</v>
      </c>
    </row>
    <row r="9" spans="1:8" ht="135" customHeight="1" x14ac:dyDescent="0.3">
      <c r="A9" s="2" t="s">
        <v>47</v>
      </c>
      <c r="B9" s="3" t="s">
        <v>20</v>
      </c>
      <c r="C9" s="3" t="s">
        <v>48</v>
      </c>
      <c r="D9" s="3" t="s">
        <v>49</v>
      </c>
      <c r="E9" s="3" t="s">
        <v>50</v>
      </c>
      <c r="F9" s="3" t="s">
        <v>51</v>
      </c>
      <c r="G9" s="2">
        <v>8</v>
      </c>
      <c r="H9" s="4" t="s">
        <v>14</v>
      </c>
    </row>
    <row r="10" spans="1:8" ht="135" customHeight="1" x14ac:dyDescent="0.3">
      <c r="A10" s="2" t="s">
        <v>52</v>
      </c>
      <c r="B10" s="3" t="s">
        <v>20</v>
      </c>
      <c r="C10" s="3" t="s">
        <v>53</v>
      </c>
      <c r="D10" s="3" t="s">
        <v>54</v>
      </c>
      <c r="E10" s="3" t="s">
        <v>55</v>
      </c>
      <c r="F10" s="3" t="s">
        <v>56</v>
      </c>
      <c r="G10" s="2">
        <v>5</v>
      </c>
      <c r="H10" s="5" t="s">
        <v>46</v>
      </c>
    </row>
    <row r="11" spans="1:8" ht="135" customHeight="1" x14ac:dyDescent="0.3">
      <c r="A11" s="2" t="s">
        <v>58</v>
      </c>
      <c r="B11" s="3" t="s">
        <v>57</v>
      </c>
      <c r="C11" s="3" t="s">
        <v>59</v>
      </c>
      <c r="D11" s="3" t="s">
        <v>60</v>
      </c>
      <c r="E11" s="3" t="s">
        <v>61</v>
      </c>
      <c r="F11" s="3" t="s">
        <v>62</v>
      </c>
      <c r="G11" s="2">
        <v>8</v>
      </c>
      <c r="H11" s="4" t="s">
        <v>14</v>
      </c>
    </row>
    <row r="12" spans="1:8" ht="135" customHeight="1" x14ac:dyDescent="0.3">
      <c r="A12" s="2" t="s">
        <v>63</v>
      </c>
      <c r="B12" s="3" t="s">
        <v>57</v>
      </c>
      <c r="C12" s="3" t="s">
        <v>64</v>
      </c>
      <c r="D12" s="3" t="s">
        <v>65</v>
      </c>
      <c r="E12" s="3" t="s">
        <v>66</v>
      </c>
      <c r="F12" s="3" t="s">
        <v>67</v>
      </c>
      <c r="G12" s="2">
        <v>13</v>
      </c>
      <c r="H12" s="4" t="s">
        <v>14</v>
      </c>
    </row>
    <row r="13" spans="1:8" ht="165" customHeight="1" x14ac:dyDescent="0.3">
      <c r="A13" s="2" t="s">
        <v>68</v>
      </c>
      <c r="B13" s="3" t="s">
        <v>57</v>
      </c>
      <c r="C13" s="3" t="s">
        <v>69</v>
      </c>
      <c r="D13" s="3" t="s">
        <v>70</v>
      </c>
      <c r="E13" s="3" t="s">
        <v>71</v>
      </c>
      <c r="F13" s="3" t="s">
        <v>72</v>
      </c>
      <c r="G13" s="2">
        <v>13</v>
      </c>
      <c r="H13" s="4" t="s">
        <v>14</v>
      </c>
    </row>
    <row r="14" spans="1:8" ht="165" customHeight="1" x14ac:dyDescent="0.3">
      <c r="A14" s="2" t="s">
        <v>73</v>
      </c>
      <c r="B14" s="3" t="s">
        <v>57</v>
      </c>
      <c r="C14" s="3" t="s">
        <v>74</v>
      </c>
      <c r="D14" s="3" t="s">
        <v>75</v>
      </c>
      <c r="E14" s="3" t="s">
        <v>76</v>
      </c>
      <c r="F14" s="3" t="s">
        <v>77</v>
      </c>
      <c r="G14" s="2">
        <v>8</v>
      </c>
      <c r="H14" s="4" t="s">
        <v>14</v>
      </c>
    </row>
    <row r="15" spans="1:8" ht="105" customHeight="1" x14ac:dyDescent="0.3"/>
    <row r="16" spans="1:8" ht="105" customHeight="1" x14ac:dyDescent="0.3"/>
    <row r="17" ht="105" customHeight="1" x14ac:dyDescent="0.3"/>
    <row r="18" ht="135" customHeight="1" x14ac:dyDescent="0.3"/>
    <row r="19" ht="105" customHeight="1" x14ac:dyDescent="0.3"/>
    <row r="20" ht="135" customHeight="1" x14ac:dyDescent="0.3"/>
    <row r="21" ht="105" customHeight="1" x14ac:dyDescent="0.3"/>
    <row r="22" ht="105" customHeight="1" x14ac:dyDescent="0.3"/>
    <row r="23" ht="105" customHeight="1" x14ac:dyDescent="0.3"/>
    <row r="24" ht="135" customHeight="1" x14ac:dyDescent="0.3"/>
    <row r="25" ht="135" customHeight="1" x14ac:dyDescent="0.3"/>
    <row r="26" ht="105" customHeight="1" x14ac:dyDescent="0.3"/>
    <row r="27" ht="105" customHeight="1" x14ac:dyDescent="0.3"/>
    <row r="28" ht="135" customHeight="1" x14ac:dyDescent="0.3"/>
    <row r="29" ht="105" customHeight="1" x14ac:dyDescent="0.3"/>
    <row r="30" ht="105" customHeight="1" x14ac:dyDescent="0.3"/>
    <row r="31" ht="105" customHeight="1" x14ac:dyDescent="0.3"/>
    <row r="32" ht="135" customHeight="1" x14ac:dyDescent="0.3"/>
    <row r="33" ht="105" customHeight="1" x14ac:dyDescent="0.3"/>
    <row r="34" ht="135" customHeight="1" x14ac:dyDescent="0.3"/>
    <row r="35" ht="105" customHeight="1" x14ac:dyDescent="0.3"/>
    <row r="36" ht="105" customHeight="1" x14ac:dyDescent="0.3"/>
    <row r="37" ht="105" customHeight="1" x14ac:dyDescent="0.3"/>
    <row r="38" ht="135" customHeight="1" x14ac:dyDescent="0.3"/>
    <row r="39" ht="105" customHeight="1" x14ac:dyDescent="0.3"/>
    <row r="41" ht="135" customHeight="1" x14ac:dyDescent="0.3"/>
    <row r="42" ht="105" customHeight="1" x14ac:dyDescent="0.3"/>
    <row r="43" ht="105" customHeight="1" x14ac:dyDescent="0.3"/>
    <row r="44" ht="135" customHeight="1" x14ac:dyDescent="0.3"/>
    <row r="45" ht="135" customHeight="1" x14ac:dyDescent="0.3"/>
    <row r="46" ht="135" customHeight="1" x14ac:dyDescent="0.3"/>
    <row r="47" ht="105" customHeight="1" x14ac:dyDescent="0.3"/>
    <row r="48" ht="105" customHeight="1" x14ac:dyDescent="0.3"/>
    <row r="49" ht="135" customHeight="1" x14ac:dyDescent="0.3"/>
    <row r="50" ht="105" customHeight="1" x14ac:dyDescent="0.3"/>
    <row r="51" ht="135" customHeight="1" x14ac:dyDescent="0.3"/>
    <row r="52" ht="105" customHeight="1" x14ac:dyDescent="0.3"/>
    <row r="53" ht="105" customHeight="1" x14ac:dyDescent="0.3"/>
    <row r="54" ht="105" customHeight="1" x14ac:dyDescent="0.3"/>
    <row r="55" ht="135" customHeight="1" x14ac:dyDescent="0.3"/>
    <row r="56" ht="105" customHeight="1" x14ac:dyDescent="0.3"/>
    <row r="57" ht="105" customHeight="1" x14ac:dyDescent="0.3"/>
    <row r="58" ht="105" customHeight="1" x14ac:dyDescent="0.3"/>
    <row r="59" ht="135" customHeight="1" x14ac:dyDescent="0.3"/>
    <row r="60" ht="135" customHeight="1" x14ac:dyDescent="0.3"/>
    <row r="61" ht="105" customHeight="1" x14ac:dyDescent="0.3"/>
    <row r="62" ht="135" customHeight="1" x14ac:dyDescent="0.3"/>
    <row r="63" ht="135" customHeight="1" x14ac:dyDescent="0.3"/>
    <row r="64" ht="135" customHeight="1" x14ac:dyDescent="0.3"/>
    <row r="65" ht="105" customHeight="1" x14ac:dyDescent="0.3"/>
    <row r="66" ht="135" customHeight="1" x14ac:dyDescent="0.3"/>
    <row r="67" ht="135" customHeight="1" x14ac:dyDescent="0.3"/>
    <row r="68" ht="135" customHeight="1" x14ac:dyDescent="0.3"/>
    <row r="69" ht="105" customHeight="1" x14ac:dyDescent="0.3"/>
    <row r="70" ht="135" customHeight="1" x14ac:dyDescent="0.3"/>
  </sheetData>
  <autoFilter ref="A1:H14" xr:uid="{00000000-0009-0000-0000-000000000000}"/>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13"/>
  <sheetViews>
    <sheetView workbookViewId="0">
      <selection activeCell="A20" sqref="A20"/>
    </sheetView>
  </sheetViews>
  <sheetFormatPr defaultRowHeight="14.4" x14ac:dyDescent="0.3"/>
  <cols>
    <col min="1" max="1" width="52" customWidth="1"/>
    <col min="2" max="6" width="13" customWidth="1"/>
  </cols>
  <sheetData>
    <row r="1" spans="1:6" ht="18" x14ac:dyDescent="0.35">
      <c r="A1" s="6" t="s">
        <v>78</v>
      </c>
    </row>
    <row r="3" spans="1:6" x14ac:dyDescent="0.3">
      <c r="A3" s="7" t="s">
        <v>1</v>
      </c>
      <c r="B3" s="7" t="s">
        <v>79</v>
      </c>
      <c r="C3" s="7" t="s">
        <v>6</v>
      </c>
      <c r="D3" s="7" t="s">
        <v>14</v>
      </c>
      <c r="E3" s="7" t="s">
        <v>46</v>
      </c>
      <c r="F3" s="7" t="s">
        <v>80</v>
      </c>
    </row>
    <row r="4" spans="1:6" x14ac:dyDescent="0.3">
      <c r="A4" s="8" t="s">
        <v>8</v>
      </c>
      <c r="B4" s="8">
        <f>COUNTIF('User Stories'!$B$2:$B$14,A4)</f>
        <v>2</v>
      </c>
      <c r="C4" s="8">
        <f>SUMIF('User Stories'!$B$2:$B$14,A4,'User Stories'!$G$2:$G$14)</f>
        <v>13</v>
      </c>
      <c r="D4" s="8">
        <f>COUNTIFS('User Stories'!$B$2:$B$14,A4,'User Stories'!$H$2:$H$14,"High")</f>
        <v>2</v>
      </c>
      <c r="E4" s="8">
        <f>COUNTIFS('User Stories'!$B$2:$B$14,A4,'User Stories'!$H$2:$H$14,"Medium")</f>
        <v>0</v>
      </c>
      <c r="F4" s="8">
        <f>COUNTIFS('User Stories'!$B$2:$B$14,A4,'User Stories'!$H$2:$H$14,"Low")</f>
        <v>0</v>
      </c>
    </row>
    <row r="5" spans="1:6" x14ac:dyDescent="0.3">
      <c r="A5" s="8" t="s">
        <v>20</v>
      </c>
      <c r="B5" s="8">
        <f>COUNTIF('User Stories'!$B$2:$B$14,A5)</f>
        <v>7</v>
      </c>
      <c r="C5" s="8">
        <f>SUMIF('User Stories'!$B$2:$B$14,A5,'User Stories'!$G$2:$G$14)</f>
        <v>55</v>
      </c>
      <c r="D5" s="8">
        <f>COUNTIFS('User Stories'!$B$2:$B$14,A5,'User Stories'!$H$2:$H$14,"High")</f>
        <v>5</v>
      </c>
      <c r="E5" s="8">
        <f>COUNTIFS('User Stories'!$B$2:$B$14,A5,'User Stories'!$H$2:$H$14,"Medium")</f>
        <v>2</v>
      </c>
      <c r="F5" s="8">
        <f>COUNTIFS('User Stories'!$B$2:$B$14,A5,'User Stories'!$H$2:$H$14,"Low")</f>
        <v>0</v>
      </c>
    </row>
    <row r="6" spans="1:6" x14ac:dyDescent="0.3">
      <c r="A6" s="8" t="s">
        <v>57</v>
      </c>
      <c r="B6" s="8">
        <f>COUNTIF('User Stories'!$B$2:$B$14,A6)</f>
        <v>4</v>
      </c>
      <c r="C6" s="8">
        <f>SUMIF('User Stories'!$B$2:$B$14,A6,'User Stories'!$G$2:$G$14)</f>
        <v>42</v>
      </c>
      <c r="D6" s="8">
        <f>COUNTIFS('User Stories'!$B$2:$B$14,A6,'User Stories'!$H$2:$H$14,"High")</f>
        <v>4</v>
      </c>
      <c r="E6" s="8">
        <f>COUNTIFS('User Stories'!$B$2:$B$14,A6,'User Stories'!$H$2:$H$14,"Medium")</f>
        <v>0</v>
      </c>
      <c r="F6" s="8">
        <f>COUNTIFS('User Stories'!$B$2:$B$14,A6,'User Stories'!$H$2:$H$14,"Low")</f>
        <v>0</v>
      </c>
    </row>
    <row r="7" spans="1:6" x14ac:dyDescent="0.3">
      <c r="A7" s="7" t="s">
        <v>81</v>
      </c>
      <c r="B7" s="7">
        <f>SUM(B4:B6)</f>
        <v>13</v>
      </c>
      <c r="C7" s="7">
        <f>SUM(C4:C6)</f>
        <v>110</v>
      </c>
      <c r="D7" s="7">
        <f>SUM(D4:D6)</f>
        <v>11</v>
      </c>
      <c r="E7" s="7">
        <f>SUM(E4:E6)</f>
        <v>2</v>
      </c>
      <c r="F7" s="7">
        <f>SUM(F4:F6)</f>
        <v>0</v>
      </c>
    </row>
    <row r="9" spans="1:6" x14ac:dyDescent="0.3">
      <c r="A9" t="s">
        <v>82</v>
      </c>
    </row>
    <row r="10" spans="1:6" x14ac:dyDescent="0.3">
      <c r="A10" t="s">
        <v>83</v>
      </c>
    </row>
    <row r="11" spans="1:6" x14ac:dyDescent="0.3">
      <c r="A11" t="s">
        <v>84</v>
      </c>
    </row>
    <row r="12" spans="1:6" x14ac:dyDescent="0.3">
      <c r="A12" t="s">
        <v>85</v>
      </c>
    </row>
    <row r="13" spans="1:6" x14ac:dyDescent="0.3">
      <c r="A13" t="s">
        <v>86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User Stories</vt:lpstr>
      <vt:lpstr>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Pranali Dukhande</cp:lastModifiedBy>
  <dcterms:created xsi:type="dcterms:W3CDTF">2026-10-17T11:08:14Z</dcterms:created>
  <dcterms:modified xsi:type="dcterms:W3CDTF">2026-10-18T21:48:41Z</dcterms:modified>
</cp:coreProperties>
</file>