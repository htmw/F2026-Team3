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ae46a4f0aa76adb/Desktop/F2026-Team3/.claude/userstory/"/>
    </mc:Choice>
  </mc:AlternateContent>
  <xr:revisionPtr revIDLastSave="22" documentId="11_92B1CCB0CA8E856D1119C4B62B5BDA16964C5D1D" xr6:coauthVersionLast="47" xr6:coauthVersionMax="47" xr10:uidLastSave="{8E2EE6F8-BDD9-4638-AA64-E6AF2335DFCD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I16" i="2"/>
  <c r="H16" i="2"/>
  <c r="G16" i="2"/>
  <c r="F16" i="2"/>
  <c r="E16" i="2"/>
  <c r="D16" i="2"/>
  <c r="C16" i="2"/>
  <c r="J15" i="2"/>
  <c r="I15" i="2"/>
  <c r="H15" i="2"/>
  <c r="G15" i="2"/>
  <c r="F15" i="2"/>
  <c r="E15" i="2"/>
  <c r="D15" i="2"/>
  <c r="C15" i="2"/>
  <c r="J14" i="2"/>
  <c r="I14" i="2"/>
  <c r="H14" i="2"/>
  <c r="G14" i="2"/>
  <c r="F14" i="2"/>
  <c r="E14" i="2"/>
  <c r="D14" i="2"/>
  <c r="C14" i="2"/>
  <c r="J13" i="2"/>
  <c r="I13" i="2"/>
  <c r="H13" i="2"/>
  <c r="G13" i="2"/>
  <c r="F13" i="2"/>
  <c r="E13" i="2"/>
  <c r="D13" i="2"/>
  <c r="C13" i="2"/>
  <c r="J12" i="2"/>
  <c r="I12" i="2"/>
  <c r="H12" i="2"/>
  <c r="G12" i="2"/>
  <c r="F12" i="2"/>
  <c r="E12" i="2"/>
  <c r="D12" i="2"/>
  <c r="C12" i="2"/>
  <c r="J11" i="2"/>
  <c r="I11" i="2"/>
  <c r="H11" i="2"/>
  <c r="G11" i="2"/>
  <c r="F11" i="2"/>
  <c r="E11" i="2"/>
  <c r="D11" i="2"/>
  <c r="C11" i="2"/>
  <c r="J10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  <c r="J7" i="2"/>
  <c r="I7" i="2"/>
  <c r="H7" i="2"/>
  <c r="G7" i="2"/>
  <c r="F7" i="2"/>
  <c r="E7" i="2"/>
  <c r="D7" i="2"/>
  <c r="C7" i="2"/>
  <c r="J6" i="2"/>
  <c r="I6" i="2"/>
  <c r="H6" i="2"/>
  <c r="G6" i="2"/>
  <c r="F6" i="2"/>
  <c r="E6" i="2"/>
  <c r="D6" i="2"/>
  <c r="C6" i="2"/>
  <c r="J5" i="2"/>
  <c r="I5" i="2"/>
  <c r="H5" i="2"/>
  <c r="G5" i="2"/>
  <c r="F5" i="2"/>
  <c r="E5" i="2"/>
  <c r="D5" i="2"/>
  <c r="C5" i="2"/>
  <c r="J4" i="2"/>
  <c r="I4" i="2"/>
  <c r="H4" i="2"/>
  <c r="G4" i="2"/>
  <c r="F4" i="2"/>
  <c r="E4" i="2"/>
  <c r="D4" i="2"/>
  <c r="C4" i="2"/>
  <c r="J17" i="2" l="1"/>
  <c r="F17" i="2"/>
  <c r="D17" i="2"/>
  <c r="E17" i="2"/>
  <c r="G17" i="2"/>
  <c r="C17" i="2"/>
  <c r="H17" i="2"/>
  <c r="I17" i="2"/>
</calcChain>
</file>

<file path=xl/sharedStrings.xml><?xml version="1.0" encoding="utf-8"?>
<sst xmlns="http://schemas.openxmlformats.org/spreadsheetml/2006/main" count="188" uniqueCount="124">
  <si>
    <t>Test ID</t>
  </si>
  <si>
    <t>Linked Story</t>
  </si>
  <si>
    <t>Preconditions</t>
  </si>
  <si>
    <t>Steps</t>
  </si>
  <si>
    <t>Test Data</t>
  </si>
  <si>
    <t>Expected Result</t>
  </si>
  <si>
    <t>Type</t>
  </si>
  <si>
    <t>Priority</t>
  </si>
  <si>
    <t>TC-01</t>
  </si>
  <si>
    <t>US-01</t>
  </si>
  <si>
    <t>Signed out · Database reset and seeded; ACADMATE_TODAY=2026-10-01</t>
  </si>
  <si>
    <t>1. Open /login
2. Enter email and password
3. Click Sign in</t>
  </si>
  <si>
    <t>amara.okafor@pac.edu / Acadmate!2026</t>
  </si>
  <si>
    <t>POST /auth/login returns 200 and sets the HttpOnly acadmate_session cookie; user lands on /student; sidebar shows the student navigation.</t>
  </si>
  <si>
    <t>Functional</t>
  </si>
  <si>
    <t>High</t>
  </si>
  <si>
    <t>TC-02</t>
  </si>
  <si>
    <t>Signed in as Dr. Sarah Smith (advisor) · Database reset and seeded; ACADMATE_TODAY=2026-10-01</t>
  </si>
  <si>
    <t>1. Navigate to /student
2. Navigate to /admin/users
3. Call GET /students/me/dashboard directly</t>
  </si>
  <si>
    <t>Advisor session cookie</t>
  </si>
  <si>
    <t>UI redirects to /advisor for both routes; the API returns 403 FORBIDDEN in the error envelope.</t>
  </si>
  <si>
    <t>Security</t>
  </si>
  <si>
    <t>TC-03</t>
  </si>
  <si>
    <t>US-02</t>
  </si>
  <si>
    <t>Signed out · self sign-up on · Database reset and seeded; ACADMATE_TODAY=2026-10-01</t>
  </si>
  <si>
    <t>1. Sign up with a Gmail address</t>
  </si>
  <si>
    <t>test@gmail.com / Passw0rd!</t>
  </si>
  <si>
    <t>422 VALIDATION_ERROR on email: "Use your school email (pac.edu)."; no user is created.</t>
  </si>
  <si>
    <t>API</t>
  </si>
  <si>
    <t>TC-04</t>
  </si>
  <si>
    <t>US-03</t>
  </si>
  <si>
    <t>Signed in as Amara Okafor (student) · Database reset and seeded; ACADMATE_TODAY=2026-10-01</t>
  </si>
  <si>
    <t>1. Open /student</t>
  </si>
  <si>
    <t>Seed student 101</t>
  </si>
  <si>
    <t>GPA 3.73 with per-term chart and On track pill; credits 21 / 36; Today card lists the 15:00 check-in; greeting uses "Amara".</t>
  </si>
  <si>
    <t>TC-05</t>
  </si>
  <si>
    <t>US-04</t>
  </si>
  <si>
    <t>1. Add a course whose prerequisite Amara hasn't taken</t>
  </si>
  <si>
    <t>Course with unmet prerequisite</t>
  </si>
  <si>
    <t>400 "Take &lt;prereq&gt; before &lt;course&gt;." shown in the dialog; nothing added.</t>
  </si>
  <si>
    <t>TC-06</t>
  </si>
  <si>
    <t>US-05</t>
  </si>
  <si>
    <t>Signed in as Amara Okafor (student) · Database reset and seeded; ACADMATE_TODAY=2026-10-01 · "Visa and immigration" is blocked</t>
  </si>
  <si>
    <t>1. Ask "Will dropping a course affect my visa?"
2. Click the handoff action</t>
  </si>
  <si>
    <t>Question text</t>
  </si>
  <si>
    <t>Amber handoff answer suggesting a meeting; no model call made; action opens Book a meeting.</t>
  </si>
  <si>
    <t>TC-07</t>
  </si>
  <si>
    <t>US-06</t>
  </si>
  <si>
    <t>1. Submit the capstone form
2. Open Degree plan
3. Submit it again</t>
  </si>
  <si>
    <t>Form assignment</t>
  </si>
  <si>
    <t>Pending form approval for Dr. Smith; audit counts the form as submitted; 2nd submit 409 "This assignment is already submitted."</t>
  </si>
  <si>
    <t>TC-08</t>
  </si>
  <si>
    <t>US-07</t>
  </si>
  <si>
    <t>1. Start a conversation with an unrelated student
2. Start one with your own user id</t>
  </si>
  <si>
    <t>recipientIds [12] · [1]</t>
  </si>
  <si>
    <t>403 "You can't message this person." / 403 "You can't message yourself."</t>
  </si>
  <si>
    <t>TC-09</t>
  </si>
  <si>
    <t>US-08</t>
  </si>
  <si>
    <t>1. Pick a free slot and a topic
2. Book
3. Reload</t>
  </si>
  <si>
    <t>Topic "Capstone topics"</t>
  </si>
  <si>
    <t>201; Requested (Dr. Smith) or Confirmed (Graduate office auto-confirms); slot taken after reload; staff gets a notice.</t>
  </si>
  <si>
    <t>TC-10</t>
  </si>
  <si>
    <t>Two students signed in</t>
  </si>
  <si>
    <t>1. Both POST /meetings for the same staff and start at the same time</t>
  </si>
  <si>
    <t>Same staffId and start</t>
  </si>
  <si>
    <t>One 201; the other 409 SLOT_TAKEN "That time was just taken. Pick another."; only one row exists.</t>
  </si>
  <si>
    <t>TC-11</t>
  </si>
  <si>
    <t>US-09</t>
  </si>
  <si>
    <t>Throwaway student created with make_user() · Database reset and seeded; ACADMATE_TODAY=2026-10-01</t>
  </si>
  <si>
    <t>1. Delete with a wrong password
2. Delete with the correct password
3. Try to sign in</t>
  </si>
  <si>
    <t>Wrong / correct password</t>
  </si>
  <si>
    <t>1: 403 INVALID_CREDENTIALS inline. 2: signed out, upcoming meetings cancelled, sessions removed. 3: sign-in fails; enrollments kept anonymised.</t>
  </si>
  <si>
    <t>TC-12</t>
  </si>
  <si>
    <t>US-10</t>
  </si>
  <si>
    <t>Signed in as Jordan Lee (admin) · Database reset and seeded; ACADMATE_TODAY=2026-10-01</t>
  </si>
  <si>
    <t>1. Open /admin/audit
2. Select the failed sign-in event
3. Click its target link</t>
  </si>
  <si>
    <t>Seed events 1801–1812</t>
  </si>
  <si>
    <t>Newest first; detail shows time, actor, action, event ID, IP, result Failed and the reason; admin targets open the right screen.</t>
  </si>
  <si>
    <t>TC-13</t>
  </si>
  <si>
    <t>US-11</t>
  </si>
  <si>
    <t>1. Import a CSV with one unknown program
2. Import an empty file
3. Import a file &gt; 1 MB
4. Import a non-UTF-8 file</t>
  </si>
  <si>
    <t>users.csv variants</t>
  </si>
  <si>
    <t>1: other rows imported, bad line reported. 2: 400 "The file has no users." 3: 400 "The file is larger than 1 MB." 4: 400 "Save the file as a UTF-8 CSV."</t>
  </si>
  <si>
    <t>TC-14</t>
  </si>
  <si>
    <t>US-12</t>
  </si>
  <si>
    <t>Signed in as Jordan Lee (admin) · Database reset and seeded; ACADMATE_TODAY=2026-10-01 · drafts exist</t>
  </si>
  <si>
    <t>1. Click Publish
2. As Amara, ask the AI for a Spring plan</t>
  </si>
  <si>
    <t>Draft from previous case</t>
  </si>
  <si>
    <t>One transaction; draft count clears; required credits recomputed; catalog.publish audited; AI no longer suggests CS 650.</t>
  </si>
  <si>
    <t>TC-15</t>
  </si>
  <si>
    <t>US-13</t>
  </si>
  <si>
    <t>Signed in as Jordan Lee (admin) · Database reset and seeded; ACADMATE_TODAY=2026-10-01 · ANTHROPIC_API_KEY not set</t>
  </si>
  <si>
    <t>1. Choose engine Claude and save
2. Change only reply style and save</t>
  </si>
  <si>
    <t>engine=claude</t>
  </si>
  <si>
    <t>1: 400 CLAUDE_UNAVAILABLE toast. 2: saves fine.</t>
  </si>
  <si>
    <t>Medium</t>
  </si>
  <si>
    <t>Acadmate · Test case summary</t>
  </si>
  <si>
    <t>Story</t>
  </si>
  <si>
    <t>Feature</t>
  </si>
  <si>
    <t>Test cases</t>
  </si>
  <si>
    <t>Regression</t>
  </si>
  <si>
    <t>Low</t>
  </si>
  <si>
    <t>Sign-in, sessions &amp; navigation</t>
  </si>
  <si>
    <t>Account setup &amp; recovery</t>
  </si>
  <si>
    <t>Dashboard, courses &amp; grades</t>
  </si>
  <si>
    <t>Degree plan &amp; approval</t>
  </si>
  <si>
    <t>AI advisor</t>
  </si>
  <si>
    <t>Schedule &amp; assignments</t>
  </si>
  <si>
    <t>Messages &amp; notices</t>
  </si>
  <si>
    <t>Book a meeting</t>
  </si>
  <si>
    <t>Student settings &amp; privacy</t>
  </si>
  <si>
    <t>Overview &amp; audit log</t>
  </si>
  <si>
    <t>Users &amp; advisors</t>
  </si>
  <si>
    <t>Catalog &amp; data integrations</t>
  </si>
  <si>
    <t>AI &amp; institution settings</t>
  </si>
  <si>
    <t>Total</t>
  </si>
  <si>
    <t>Condensed for the presentation: 15 of 113 test cases, one or more per story. The full set is in Acadmate_Test_Cases_Full.xlsx.</t>
  </si>
  <si>
    <t>Coverage per story: happy path, negative (invalid input, missing fields, unauthorized access), edge (empty data, max length, special characters, duplicates, concurrency), plus API status codes / error envelopes, validation, permissions and integration points.</t>
  </si>
  <si>
    <t>Titles start with the case category (Happy path / Negative / Edge / Security / Integration / Regression / API). Integration-point cases are typed Functional.</t>
  </si>
  <si>
    <t>Common setup: python reset_db.py --yes &amp;&amp; python seed_data.py, ACADMATE_TODAY=2026-10-01 (same pin as pytest). Seed password for every demo user: Acadmate!2026.</t>
  </si>
  <si>
    <t>Error codes and limits come from the FastAPI backend (core/errors.py, services/*, schemas/*). Every error returns {"error": {"code", "message", "details"}}.</t>
  </si>
  <si>
    <t>Priority: High = core flow or security, Medium = supporting flow, Low = convenience. All data is invented demo data.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</si>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</sst>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3212E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3212E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>
      <left style="thin">
        <color rgb="FFBFC5CC"/>
      </left>
      <right style="thin">
        <color rgb="FFBFC5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0" borderId="0" xfId="0" applyFont="1"/>
    <xf numFmtId="0" fontId="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F1" zoomScale="63" zoomScaleNormal="63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1" customWidth="1"/>
    <col min="2" max="2" width="13" customWidth="1"/>
    <col min="3" max="3" width="32" customWidth="1"/>
    <col min="4" max="4" width="46" customWidth="1"/>
    <col min="5" max="5" width="30" customWidth="1"/>
    <col min="6" max="6" width="58" customWidth="1"/>
    <col min="7" max="7" width="12" customWidth="1"/>
    <col min="8" max="8" width="10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122</v>
      </c>
    </row>
    <row r="2" spans="1:9" ht="70.05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4" t="s">
        <v>15</v>
      </c>
      <c r="I2" s="12" t="s">
        <v>123</v>
      </c>
    </row>
    <row r="3" spans="1:9" ht="70.05" customHeight="1" x14ac:dyDescent="0.3">
      <c r="A3" s="2" t="s">
        <v>16</v>
      </c>
      <c r="B3" s="2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2" t="s">
        <v>21</v>
      </c>
      <c r="H3" s="4" t="s">
        <v>15</v>
      </c>
      <c r="I3" s="12" t="s">
        <v>123</v>
      </c>
    </row>
    <row r="4" spans="1:9" ht="60" customHeight="1" x14ac:dyDescent="0.3">
      <c r="A4" s="2" t="s">
        <v>22</v>
      </c>
      <c r="B4" s="2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2" t="s">
        <v>28</v>
      </c>
      <c r="H4" s="4" t="s">
        <v>15</v>
      </c>
      <c r="I4" s="12" t="s">
        <v>123</v>
      </c>
    </row>
    <row r="5" spans="1:9" ht="70.05" customHeight="1" x14ac:dyDescent="0.3">
      <c r="A5" s="2" t="s">
        <v>29</v>
      </c>
      <c r="B5" s="2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2" t="s">
        <v>14</v>
      </c>
      <c r="H5" s="4" t="s">
        <v>15</v>
      </c>
      <c r="I5" s="12" t="s">
        <v>123</v>
      </c>
    </row>
    <row r="6" spans="1:9" ht="70.05" customHeight="1" x14ac:dyDescent="0.3">
      <c r="A6" s="2" t="s">
        <v>35</v>
      </c>
      <c r="B6" s="2" t="s">
        <v>36</v>
      </c>
      <c r="C6" s="3" t="s">
        <v>31</v>
      </c>
      <c r="D6" s="3" t="s">
        <v>37</v>
      </c>
      <c r="E6" s="3" t="s">
        <v>38</v>
      </c>
      <c r="F6" s="3" t="s">
        <v>39</v>
      </c>
      <c r="G6" s="2" t="s">
        <v>28</v>
      </c>
      <c r="H6" s="4" t="s">
        <v>15</v>
      </c>
      <c r="I6" s="12" t="s">
        <v>123</v>
      </c>
    </row>
    <row r="7" spans="1:9" ht="85.05" customHeight="1" x14ac:dyDescent="0.3">
      <c r="A7" s="2" t="s">
        <v>40</v>
      </c>
      <c r="B7" s="2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2" t="s">
        <v>21</v>
      </c>
      <c r="H7" s="4" t="s">
        <v>15</v>
      </c>
      <c r="I7" s="12" t="s">
        <v>123</v>
      </c>
    </row>
    <row r="8" spans="1:9" ht="70.05" customHeight="1" x14ac:dyDescent="0.3">
      <c r="A8" s="2" t="s">
        <v>46</v>
      </c>
      <c r="B8" s="2" t="s">
        <v>47</v>
      </c>
      <c r="C8" s="3" t="s">
        <v>31</v>
      </c>
      <c r="D8" s="3" t="s">
        <v>48</v>
      </c>
      <c r="E8" s="3" t="s">
        <v>49</v>
      </c>
      <c r="F8" s="3" t="s">
        <v>50</v>
      </c>
      <c r="G8" s="2" t="s">
        <v>14</v>
      </c>
      <c r="H8" s="4" t="s">
        <v>15</v>
      </c>
      <c r="I8" s="12" t="s">
        <v>123</v>
      </c>
    </row>
    <row r="9" spans="1:9" ht="70.05" customHeight="1" x14ac:dyDescent="0.3">
      <c r="A9" s="2" t="s">
        <v>51</v>
      </c>
      <c r="B9" s="2" t="s">
        <v>52</v>
      </c>
      <c r="C9" s="3" t="s">
        <v>31</v>
      </c>
      <c r="D9" s="3" t="s">
        <v>53</v>
      </c>
      <c r="E9" s="3" t="s">
        <v>54</v>
      </c>
      <c r="F9" s="3" t="s">
        <v>55</v>
      </c>
      <c r="G9" s="2" t="s">
        <v>21</v>
      </c>
      <c r="H9" s="4" t="s">
        <v>15</v>
      </c>
      <c r="I9" s="12" t="s">
        <v>123</v>
      </c>
    </row>
    <row r="10" spans="1:9" ht="70.05" customHeight="1" x14ac:dyDescent="0.3">
      <c r="A10" s="2" t="s">
        <v>56</v>
      </c>
      <c r="B10" s="2" t="s">
        <v>57</v>
      </c>
      <c r="C10" s="3" t="s">
        <v>31</v>
      </c>
      <c r="D10" s="3" t="s">
        <v>58</v>
      </c>
      <c r="E10" s="3" t="s">
        <v>59</v>
      </c>
      <c r="F10" s="3" t="s">
        <v>60</v>
      </c>
      <c r="G10" s="2" t="s">
        <v>14</v>
      </c>
      <c r="H10" s="4" t="s">
        <v>15</v>
      </c>
      <c r="I10" s="12" t="s">
        <v>123</v>
      </c>
    </row>
    <row r="11" spans="1:9" ht="60" customHeight="1" x14ac:dyDescent="0.3">
      <c r="A11" s="2" t="s">
        <v>61</v>
      </c>
      <c r="B11" s="2" t="s">
        <v>57</v>
      </c>
      <c r="C11" s="3" t="s">
        <v>62</v>
      </c>
      <c r="D11" s="3" t="s">
        <v>63</v>
      </c>
      <c r="E11" s="3" t="s">
        <v>64</v>
      </c>
      <c r="F11" s="3" t="s">
        <v>65</v>
      </c>
      <c r="G11" s="2" t="s">
        <v>28</v>
      </c>
      <c r="H11" s="4" t="s">
        <v>15</v>
      </c>
      <c r="I11" s="12" t="s">
        <v>123</v>
      </c>
    </row>
    <row r="12" spans="1:9" ht="70.05" customHeight="1" x14ac:dyDescent="0.3">
      <c r="A12" s="2" t="s">
        <v>66</v>
      </c>
      <c r="B12" s="2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2" t="s">
        <v>21</v>
      </c>
      <c r="H12" s="4" t="s">
        <v>15</v>
      </c>
      <c r="I12" s="12" t="s">
        <v>123</v>
      </c>
    </row>
    <row r="13" spans="1:9" ht="70.05" customHeight="1" x14ac:dyDescent="0.3">
      <c r="A13" s="2" t="s">
        <v>72</v>
      </c>
      <c r="B13" s="2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2" t="s">
        <v>14</v>
      </c>
      <c r="H13" s="4" t="s">
        <v>15</v>
      </c>
      <c r="I13" s="12" t="s">
        <v>123</v>
      </c>
    </row>
    <row r="14" spans="1:9" ht="85.05" customHeight="1" x14ac:dyDescent="0.3">
      <c r="A14" s="2" t="s">
        <v>78</v>
      </c>
      <c r="B14" s="2" t="s">
        <v>79</v>
      </c>
      <c r="C14" s="3" t="s">
        <v>74</v>
      </c>
      <c r="D14" s="3" t="s">
        <v>80</v>
      </c>
      <c r="E14" s="3" t="s">
        <v>81</v>
      </c>
      <c r="F14" s="3" t="s">
        <v>82</v>
      </c>
      <c r="G14" s="2" t="s">
        <v>28</v>
      </c>
      <c r="H14" s="4" t="s">
        <v>15</v>
      </c>
      <c r="I14" s="12" t="s">
        <v>123</v>
      </c>
    </row>
    <row r="15" spans="1:9" ht="70.05" customHeight="1" x14ac:dyDescent="0.3">
      <c r="A15" s="2" t="s">
        <v>83</v>
      </c>
      <c r="B15" s="2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2" t="s">
        <v>14</v>
      </c>
      <c r="H15" s="4" t="s">
        <v>15</v>
      </c>
      <c r="I15" s="12" t="s">
        <v>123</v>
      </c>
    </row>
    <row r="16" spans="1:9" ht="70.05" customHeight="1" x14ac:dyDescent="0.3">
      <c r="A16" s="2" t="s">
        <v>89</v>
      </c>
      <c r="B16" s="2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2" t="s">
        <v>28</v>
      </c>
      <c r="H16" s="5" t="s">
        <v>95</v>
      </c>
      <c r="I16" s="12" t="s">
        <v>123</v>
      </c>
    </row>
  </sheetData>
  <autoFilter ref="A1:H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/>
  </sheetViews>
  <sheetFormatPr defaultRowHeight="14.4" x14ac:dyDescent="0.3"/>
  <cols>
    <col min="1" max="1" width="10" customWidth="1"/>
    <col min="2" max="2" width="34" customWidth="1"/>
    <col min="3" max="4" width="12" customWidth="1"/>
    <col min="5" max="6" width="10" customWidth="1"/>
    <col min="7" max="7" width="12" customWidth="1"/>
    <col min="8" max="10" width="10" customWidth="1"/>
  </cols>
  <sheetData>
    <row r="1" spans="1:10" ht="17.399999999999999" x14ac:dyDescent="0.3">
      <c r="A1" s="6" t="s">
        <v>96</v>
      </c>
    </row>
    <row r="3" spans="1:10" ht="27.6" x14ac:dyDescent="0.3">
      <c r="A3" s="1" t="s">
        <v>97</v>
      </c>
      <c r="B3" s="1" t="s">
        <v>98</v>
      </c>
      <c r="C3" s="1" t="s">
        <v>99</v>
      </c>
      <c r="D3" s="1" t="s">
        <v>14</v>
      </c>
      <c r="E3" s="1" t="s">
        <v>28</v>
      </c>
      <c r="F3" s="1" t="s">
        <v>21</v>
      </c>
      <c r="G3" s="1" t="s">
        <v>100</v>
      </c>
      <c r="H3" s="1" t="s">
        <v>15</v>
      </c>
      <c r="I3" s="1" t="s">
        <v>95</v>
      </c>
      <c r="J3" s="1" t="s">
        <v>101</v>
      </c>
    </row>
    <row r="4" spans="1:10" x14ac:dyDescent="0.3">
      <c r="A4" s="7" t="s">
        <v>9</v>
      </c>
      <c r="B4" s="8" t="s">
        <v>102</v>
      </c>
      <c r="C4" s="7">
        <f>COUNTIF('Test Cases'!$B$2:$B$16,A4)</f>
        <v>2</v>
      </c>
      <c r="D4" s="7">
        <f>COUNTIFS('Test Cases'!$B$2:$B$16,A4,'Test Cases'!$G$2:$G$16,"Functional")</f>
        <v>1</v>
      </c>
      <c r="E4" s="7">
        <f>COUNTIFS('Test Cases'!$B$2:$B$16,A4,'Test Cases'!$G$2:$G$16,"API")</f>
        <v>0</v>
      </c>
      <c r="F4" s="7">
        <f>COUNTIFS('Test Cases'!$B$2:$B$16,A4,'Test Cases'!$G$2:$G$16,"Security")</f>
        <v>1</v>
      </c>
      <c r="G4" s="7">
        <f>COUNTIFS('Test Cases'!$B$2:$B$16,A4,'Test Cases'!$G$2:$G$16,"Regression")</f>
        <v>0</v>
      </c>
      <c r="H4" s="7">
        <f>COUNTIFS('Test Cases'!$B$2:$B$16,A4,'Test Cases'!$H$2:$H$16,"High")</f>
        <v>2</v>
      </c>
      <c r="I4" s="7">
        <f>COUNTIFS('Test Cases'!$B$2:$B$16,A4,'Test Cases'!$H$2:$H$16,"Medium")</f>
        <v>0</v>
      </c>
      <c r="J4" s="7">
        <f>COUNTIFS('Test Cases'!$B$2:$B$16,A4,'Test Cases'!$H$2:$H$16,"Low")</f>
        <v>0</v>
      </c>
    </row>
    <row r="5" spans="1:10" x14ac:dyDescent="0.3">
      <c r="A5" s="7" t="s">
        <v>23</v>
      </c>
      <c r="B5" s="8" t="s">
        <v>103</v>
      </c>
      <c r="C5" s="7">
        <f>COUNTIF('Test Cases'!$B$2:$B$16,A5)</f>
        <v>1</v>
      </c>
      <c r="D5" s="7">
        <f>COUNTIFS('Test Cases'!$B$2:$B$16,A5,'Test Cases'!$G$2:$G$16,"Functional")</f>
        <v>0</v>
      </c>
      <c r="E5" s="7">
        <f>COUNTIFS('Test Cases'!$B$2:$B$16,A5,'Test Cases'!$G$2:$G$16,"API")</f>
        <v>1</v>
      </c>
      <c r="F5" s="7">
        <f>COUNTIFS('Test Cases'!$B$2:$B$16,A5,'Test Cases'!$G$2:$G$16,"Security")</f>
        <v>0</v>
      </c>
      <c r="G5" s="7">
        <f>COUNTIFS('Test Cases'!$B$2:$B$16,A5,'Test Cases'!$G$2:$G$16,"Regression")</f>
        <v>0</v>
      </c>
      <c r="H5" s="7">
        <f>COUNTIFS('Test Cases'!$B$2:$B$16,A5,'Test Cases'!$H$2:$H$16,"High")</f>
        <v>1</v>
      </c>
      <c r="I5" s="7">
        <f>COUNTIFS('Test Cases'!$B$2:$B$16,A5,'Test Cases'!$H$2:$H$16,"Medium")</f>
        <v>0</v>
      </c>
      <c r="J5" s="7">
        <f>COUNTIFS('Test Cases'!$B$2:$B$16,A5,'Test Cases'!$H$2:$H$16,"Low")</f>
        <v>0</v>
      </c>
    </row>
    <row r="6" spans="1:10" x14ac:dyDescent="0.3">
      <c r="A6" s="7" t="s">
        <v>30</v>
      </c>
      <c r="B6" s="8" t="s">
        <v>104</v>
      </c>
      <c r="C6" s="7">
        <f>COUNTIF('Test Cases'!$B$2:$B$16,A6)</f>
        <v>1</v>
      </c>
      <c r="D6" s="7">
        <f>COUNTIFS('Test Cases'!$B$2:$B$16,A6,'Test Cases'!$G$2:$G$16,"Functional")</f>
        <v>1</v>
      </c>
      <c r="E6" s="7">
        <f>COUNTIFS('Test Cases'!$B$2:$B$16,A6,'Test Cases'!$G$2:$G$16,"API")</f>
        <v>0</v>
      </c>
      <c r="F6" s="7">
        <f>COUNTIFS('Test Cases'!$B$2:$B$16,A6,'Test Cases'!$G$2:$G$16,"Security")</f>
        <v>0</v>
      </c>
      <c r="G6" s="7">
        <f>COUNTIFS('Test Cases'!$B$2:$B$16,A6,'Test Cases'!$G$2:$G$16,"Regression")</f>
        <v>0</v>
      </c>
      <c r="H6" s="7">
        <f>COUNTIFS('Test Cases'!$B$2:$B$16,A6,'Test Cases'!$H$2:$H$16,"High")</f>
        <v>1</v>
      </c>
      <c r="I6" s="7">
        <f>COUNTIFS('Test Cases'!$B$2:$B$16,A6,'Test Cases'!$H$2:$H$16,"Medium")</f>
        <v>0</v>
      </c>
      <c r="J6" s="7">
        <f>COUNTIFS('Test Cases'!$B$2:$B$16,A6,'Test Cases'!$H$2:$H$16,"Low")</f>
        <v>0</v>
      </c>
    </row>
    <row r="7" spans="1:10" x14ac:dyDescent="0.3">
      <c r="A7" s="7" t="s">
        <v>36</v>
      </c>
      <c r="B7" s="8" t="s">
        <v>105</v>
      </c>
      <c r="C7" s="7">
        <f>COUNTIF('Test Cases'!$B$2:$B$16,A7)</f>
        <v>1</v>
      </c>
      <c r="D7" s="7">
        <f>COUNTIFS('Test Cases'!$B$2:$B$16,A7,'Test Cases'!$G$2:$G$16,"Functional")</f>
        <v>0</v>
      </c>
      <c r="E7" s="7">
        <f>COUNTIFS('Test Cases'!$B$2:$B$16,A7,'Test Cases'!$G$2:$G$16,"API")</f>
        <v>1</v>
      </c>
      <c r="F7" s="7">
        <f>COUNTIFS('Test Cases'!$B$2:$B$16,A7,'Test Cases'!$G$2:$G$16,"Security")</f>
        <v>0</v>
      </c>
      <c r="G7" s="7">
        <f>COUNTIFS('Test Cases'!$B$2:$B$16,A7,'Test Cases'!$G$2:$G$16,"Regression")</f>
        <v>0</v>
      </c>
      <c r="H7" s="7">
        <f>COUNTIFS('Test Cases'!$B$2:$B$16,A7,'Test Cases'!$H$2:$H$16,"High")</f>
        <v>1</v>
      </c>
      <c r="I7" s="7">
        <f>COUNTIFS('Test Cases'!$B$2:$B$16,A7,'Test Cases'!$H$2:$H$16,"Medium")</f>
        <v>0</v>
      </c>
      <c r="J7" s="7">
        <f>COUNTIFS('Test Cases'!$B$2:$B$16,A7,'Test Cases'!$H$2:$H$16,"Low")</f>
        <v>0</v>
      </c>
    </row>
    <row r="8" spans="1:10" x14ac:dyDescent="0.3">
      <c r="A8" s="7" t="s">
        <v>41</v>
      </c>
      <c r="B8" s="8" t="s">
        <v>106</v>
      </c>
      <c r="C8" s="7">
        <f>COUNTIF('Test Cases'!$B$2:$B$16,A8)</f>
        <v>1</v>
      </c>
      <c r="D8" s="7">
        <f>COUNTIFS('Test Cases'!$B$2:$B$16,A8,'Test Cases'!$G$2:$G$16,"Functional")</f>
        <v>0</v>
      </c>
      <c r="E8" s="7">
        <f>COUNTIFS('Test Cases'!$B$2:$B$16,A8,'Test Cases'!$G$2:$G$16,"API")</f>
        <v>0</v>
      </c>
      <c r="F8" s="7">
        <f>COUNTIFS('Test Cases'!$B$2:$B$16,A8,'Test Cases'!$G$2:$G$16,"Security")</f>
        <v>1</v>
      </c>
      <c r="G8" s="7">
        <f>COUNTIFS('Test Cases'!$B$2:$B$16,A8,'Test Cases'!$G$2:$G$16,"Regression")</f>
        <v>0</v>
      </c>
      <c r="H8" s="7">
        <f>COUNTIFS('Test Cases'!$B$2:$B$16,A8,'Test Cases'!$H$2:$H$16,"High")</f>
        <v>1</v>
      </c>
      <c r="I8" s="7">
        <f>COUNTIFS('Test Cases'!$B$2:$B$16,A8,'Test Cases'!$H$2:$H$16,"Medium")</f>
        <v>0</v>
      </c>
      <c r="J8" s="7">
        <f>COUNTIFS('Test Cases'!$B$2:$B$16,A8,'Test Cases'!$H$2:$H$16,"Low")</f>
        <v>0</v>
      </c>
    </row>
    <row r="9" spans="1:10" x14ac:dyDescent="0.3">
      <c r="A9" s="7" t="s">
        <v>47</v>
      </c>
      <c r="B9" s="8" t="s">
        <v>107</v>
      </c>
      <c r="C9" s="7">
        <f>COUNTIF('Test Cases'!$B$2:$B$16,A9)</f>
        <v>1</v>
      </c>
      <c r="D9" s="7">
        <f>COUNTIFS('Test Cases'!$B$2:$B$16,A9,'Test Cases'!$G$2:$G$16,"Functional")</f>
        <v>1</v>
      </c>
      <c r="E9" s="7">
        <f>COUNTIFS('Test Cases'!$B$2:$B$16,A9,'Test Cases'!$G$2:$G$16,"API")</f>
        <v>0</v>
      </c>
      <c r="F9" s="7">
        <f>COUNTIFS('Test Cases'!$B$2:$B$16,A9,'Test Cases'!$G$2:$G$16,"Security")</f>
        <v>0</v>
      </c>
      <c r="G9" s="7">
        <f>COUNTIFS('Test Cases'!$B$2:$B$16,A9,'Test Cases'!$G$2:$G$16,"Regression")</f>
        <v>0</v>
      </c>
      <c r="H9" s="7">
        <f>COUNTIFS('Test Cases'!$B$2:$B$16,A9,'Test Cases'!$H$2:$H$16,"High")</f>
        <v>1</v>
      </c>
      <c r="I9" s="7">
        <f>COUNTIFS('Test Cases'!$B$2:$B$16,A9,'Test Cases'!$H$2:$H$16,"Medium")</f>
        <v>0</v>
      </c>
      <c r="J9" s="7">
        <f>COUNTIFS('Test Cases'!$B$2:$B$16,A9,'Test Cases'!$H$2:$H$16,"Low")</f>
        <v>0</v>
      </c>
    </row>
    <row r="10" spans="1:10" x14ac:dyDescent="0.3">
      <c r="A10" s="7" t="s">
        <v>52</v>
      </c>
      <c r="B10" s="8" t="s">
        <v>108</v>
      </c>
      <c r="C10" s="7">
        <f>COUNTIF('Test Cases'!$B$2:$B$16,A10)</f>
        <v>1</v>
      </c>
      <c r="D10" s="7">
        <f>COUNTIFS('Test Cases'!$B$2:$B$16,A10,'Test Cases'!$G$2:$G$16,"Functional")</f>
        <v>0</v>
      </c>
      <c r="E10" s="7">
        <f>COUNTIFS('Test Cases'!$B$2:$B$16,A10,'Test Cases'!$G$2:$G$16,"API")</f>
        <v>0</v>
      </c>
      <c r="F10" s="7">
        <f>COUNTIFS('Test Cases'!$B$2:$B$16,A10,'Test Cases'!$G$2:$G$16,"Security")</f>
        <v>1</v>
      </c>
      <c r="G10" s="7">
        <f>COUNTIFS('Test Cases'!$B$2:$B$16,A10,'Test Cases'!$G$2:$G$16,"Regression")</f>
        <v>0</v>
      </c>
      <c r="H10" s="7">
        <f>COUNTIFS('Test Cases'!$B$2:$B$16,A10,'Test Cases'!$H$2:$H$16,"High")</f>
        <v>1</v>
      </c>
      <c r="I10" s="7">
        <f>COUNTIFS('Test Cases'!$B$2:$B$16,A10,'Test Cases'!$H$2:$H$16,"Medium")</f>
        <v>0</v>
      </c>
      <c r="J10" s="7">
        <f>COUNTIFS('Test Cases'!$B$2:$B$16,A10,'Test Cases'!$H$2:$H$16,"Low")</f>
        <v>0</v>
      </c>
    </row>
    <row r="11" spans="1:10" x14ac:dyDescent="0.3">
      <c r="A11" s="7" t="s">
        <v>57</v>
      </c>
      <c r="B11" s="8" t="s">
        <v>109</v>
      </c>
      <c r="C11" s="7">
        <f>COUNTIF('Test Cases'!$B$2:$B$16,A11)</f>
        <v>2</v>
      </c>
      <c r="D11" s="7">
        <f>COUNTIFS('Test Cases'!$B$2:$B$16,A11,'Test Cases'!$G$2:$G$16,"Functional")</f>
        <v>1</v>
      </c>
      <c r="E11" s="7">
        <f>COUNTIFS('Test Cases'!$B$2:$B$16,A11,'Test Cases'!$G$2:$G$16,"API")</f>
        <v>1</v>
      </c>
      <c r="F11" s="7">
        <f>COUNTIFS('Test Cases'!$B$2:$B$16,A11,'Test Cases'!$G$2:$G$16,"Security")</f>
        <v>0</v>
      </c>
      <c r="G11" s="7">
        <f>COUNTIFS('Test Cases'!$B$2:$B$16,A11,'Test Cases'!$G$2:$G$16,"Regression")</f>
        <v>0</v>
      </c>
      <c r="H11" s="7">
        <f>COUNTIFS('Test Cases'!$B$2:$B$16,A11,'Test Cases'!$H$2:$H$16,"High")</f>
        <v>2</v>
      </c>
      <c r="I11" s="7">
        <f>COUNTIFS('Test Cases'!$B$2:$B$16,A11,'Test Cases'!$H$2:$H$16,"Medium")</f>
        <v>0</v>
      </c>
      <c r="J11" s="7">
        <f>COUNTIFS('Test Cases'!$B$2:$B$16,A11,'Test Cases'!$H$2:$H$16,"Low")</f>
        <v>0</v>
      </c>
    </row>
    <row r="12" spans="1:10" x14ac:dyDescent="0.3">
      <c r="A12" s="7" t="s">
        <v>67</v>
      </c>
      <c r="B12" s="8" t="s">
        <v>110</v>
      </c>
      <c r="C12" s="7">
        <f>COUNTIF('Test Cases'!$B$2:$B$16,A12)</f>
        <v>1</v>
      </c>
      <c r="D12" s="7">
        <f>COUNTIFS('Test Cases'!$B$2:$B$16,A12,'Test Cases'!$G$2:$G$16,"Functional")</f>
        <v>0</v>
      </c>
      <c r="E12" s="7">
        <f>COUNTIFS('Test Cases'!$B$2:$B$16,A12,'Test Cases'!$G$2:$G$16,"API")</f>
        <v>0</v>
      </c>
      <c r="F12" s="7">
        <f>COUNTIFS('Test Cases'!$B$2:$B$16,A12,'Test Cases'!$G$2:$G$16,"Security")</f>
        <v>1</v>
      </c>
      <c r="G12" s="7">
        <f>COUNTIFS('Test Cases'!$B$2:$B$16,A12,'Test Cases'!$G$2:$G$16,"Regression")</f>
        <v>0</v>
      </c>
      <c r="H12" s="7">
        <f>COUNTIFS('Test Cases'!$B$2:$B$16,A12,'Test Cases'!$H$2:$H$16,"High")</f>
        <v>1</v>
      </c>
      <c r="I12" s="7">
        <f>COUNTIFS('Test Cases'!$B$2:$B$16,A12,'Test Cases'!$H$2:$H$16,"Medium")</f>
        <v>0</v>
      </c>
      <c r="J12" s="7">
        <f>COUNTIFS('Test Cases'!$B$2:$B$16,A12,'Test Cases'!$H$2:$H$16,"Low")</f>
        <v>0</v>
      </c>
    </row>
    <row r="13" spans="1:10" x14ac:dyDescent="0.3">
      <c r="A13" s="7" t="s">
        <v>73</v>
      </c>
      <c r="B13" s="8" t="s">
        <v>111</v>
      </c>
      <c r="C13" s="7">
        <f>COUNTIF('Test Cases'!$B$2:$B$16,A13)</f>
        <v>1</v>
      </c>
      <c r="D13" s="7">
        <f>COUNTIFS('Test Cases'!$B$2:$B$16,A13,'Test Cases'!$G$2:$G$16,"Functional")</f>
        <v>1</v>
      </c>
      <c r="E13" s="7">
        <f>COUNTIFS('Test Cases'!$B$2:$B$16,A13,'Test Cases'!$G$2:$G$16,"API")</f>
        <v>0</v>
      </c>
      <c r="F13" s="7">
        <f>COUNTIFS('Test Cases'!$B$2:$B$16,A13,'Test Cases'!$G$2:$G$16,"Security")</f>
        <v>0</v>
      </c>
      <c r="G13" s="7">
        <f>COUNTIFS('Test Cases'!$B$2:$B$16,A13,'Test Cases'!$G$2:$G$16,"Regression")</f>
        <v>0</v>
      </c>
      <c r="H13" s="7">
        <f>COUNTIFS('Test Cases'!$B$2:$B$16,A13,'Test Cases'!$H$2:$H$16,"High")</f>
        <v>1</v>
      </c>
      <c r="I13" s="7">
        <f>COUNTIFS('Test Cases'!$B$2:$B$16,A13,'Test Cases'!$H$2:$H$16,"Medium")</f>
        <v>0</v>
      </c>
      <c r="J13" s="7">
        <f>COUNTIFS('Test Cases'!$B$2:$B$16,A13,'Test Cases'!$H$2:$H$16,"Low")</f>
        <v>0</v>
      </c>
    </row>
    <row r="14" spans="1:10" x14ac:dyDescent="0.3">
      <c r="A14" s="7" t="s">
        <v>79</v>
      </c>
      <c r="B14" s="8" t="s">
        <v>112</v>
      </c>
      <c r="C14" s="7">
        <f>COUNTIF('Test Cases'!$B$2:$B$16,A14)</f>
        <v>1</v>
      </c>
      <c r="D14" s="7">
        <f>COUNTIFS('Test Cases'!$B$2:$B$16,A14,'Test Cases'!$G$2:$G$16,"Functional")</f>
        <v>0</v>
      </c>
      <c r="E14" s="7">
        <f>COUNTIFS('Test Cases'!$B$2:$B$16,A14,'Test Cases'!$G$2:$G$16,"API")</f>
        <v>1</v>
      </c>
      <c r="F14" s="7">
        <f>COUNTIFS('Test Cases'!$B$2:$B$16,A14,'Test Cases'!$G$2:$G$16,"Security")</f>
        <v>0</v>
      </c>
      <c r="G14" s="7">
        <f>COUNTIFS('Test Cases'!$B$2:$B$16,A14,'Test Cases'!$G$2:$G$16,"Regression")</f>
        <v>0</v>
      </c>
      <c r="H14" s="7">
        <f>COUNTIFS('Test Cases'!$B$2:$B$16,A14,'Test Cases'!$H$2:$H$16,"High")</f>
        <v>1</v>
      </c>
      <c r="I14" s="7">
        <f>COUNTIFS('Test Cases'!$B$2:$B$16,A14,'Test Cases'!$H$2:$H$16,"Medium")</f>
        <v>0</v>
      </c>
      <c r="J14" s="7">
        <f>COUNTIFS('Test Cases'!$B$2:$B$16,A14,'Test Cases'!$H$2:$H$16,"Low")</f>
        <v>0</v>
      </c>
    </row>
    <row r="15" spans="1:10" x14ac:dyDescent="0.3">
      <c r="A15" s="7" t="s">
        <v>84</v>
      </c>
      <c r="B15" s="8" t="s">
        <v>113</v>
      </c>
      <c r="C15" s="7">
        <f>COUNTIF('Test Cases'!$B$2:$B$16,A15)</f>
        <v>1</v>
      </c>
      <c r="D15" s="7">
        <f>COUNTIFS('Test Cases'!$B$2:$B$16,A15,'Test Cases'!$G$2:$G$16,"Functional")</f>
        <v>1</v>
      </c>
      <c r="E15" s="7">
        <f>COUNTIFS('Test Cases'!$B$2:$B$16,A15,'Test Cases'!$G$2:$G$16,"API")</f>
        <v>0</v>
      </c>
      <c r="F15" s="7">
        <f>COUNTIFS('Test Cases'!$B$2:$B$16,A15,'Test Cases'!$G$2:$G$16,"Security")</f>
        <v>0</v>
      </c>
      <c r="G15" s="7">
        <f>COUNTIFS('Test Cases'!$B$2:$B$16,A15,'Test Cases'!$G$2:$G$16,"Regression")</f>
        <v>0</v>
      </c>
      <c r="H15" s="7">
        <f>COUNTIFS('Test Cases'!$B$2:$B$16,A15,'Test Cases'!$H$2:$H$16,"High")</f>
        <v>1</v>
      </c>
      <c r="I15" s="7">
        <f>COUNTIFS('Test Cases'!$B$2:$B$16,A15,'Test Cases'!$H$2:$H$16,"Medium")</f>
        <v>0</v>
      </c>
      <c r="J15" s="7">
        <f>COUNTIFS('Test Cases'!$B$2:$B$16,A15,'Test Cases'!$H$2:$H$16,"Low")</f>
        <v>0</v>
      </c>
    </row>
    <row r="16" spans="1:10" x14ac:dyDescent="0.3">
      <c r="A16" s="7" t="s">
        <v>90</v>
      </c>
      <c r="B16" s="8" t="s">
        <v>114</v>
      </c>
      <c r="C16" s="7">
        <f>COUNTIF('Test Cases'!$B$2:$B$16,A16)</f>
        <v>1</v>
      </c>
      <c r="D16" s="7">
        <f>COUNTIFS('Test Cases'!$B$2:$B$16,A16,'Test Cases'!$G$2:$G$16,"Functional")</f>
        <v>0</v>
      </c>
      <c r="E16" s="7">
        <f>COUNTIFS('Test Cases'!$B$2:$B$16,A16,'Test Cases'!$G$2:$G$16,"API")</f>
        <v>1</v>
      </c>
      <c r="F16" s="7">
        <f>COUNTIFS('Test Cases'!$B$2:$B$16,A16,'Test Cases'!$G$2:$G$16,"Security")</f>
        <v>0</v>
      </c>
      <c r="G16" s="7">
        <f>COUNTIFS('Test Cases'!$B$2:$B$16,A16,'Test Cases'!$G$2:$G$16,"Regression")</f>
        <v>0</v>
      </c>
      <c r="H16" s="7">
        <f>COUNTIFS('Test Cases'!$B$2:$B$16,A16,'Test Cases'!$H$2:$H$16,"High")</f>
        <v>0</v>
      </c>
      <c r="I16" s="7">
        <f>COUNTIFS('Test Cases'!$B$2:$B$16,A16,'Test Cases'!$H$2:$H$16,"Medium")</f>
        <v>1</v>
      </c>
      <c r="J16" s="7">
        <f>COUNTIFS('Test Cases'!$B$2:$B$16,A16,'Test Cases'!$H$2:$H$16,"Low")</f>
        <v>0</v>
      </c>
    </row>
    <row r="17" spans="1:10" x14ac:dyDescent="0.3">
      <c r="A17" s="9" t="s">
        <v>115</v>
      </c>
      <c r="B17" s="10"/>
      <c r="C17" s="9">
        <f t="shared" ref="C17:J17" si="0">SUM(C4:C16)</f>
        <v>15</v>
      </c>
      <c r="D17" s="9">
        <f t="shared" si="0"/>
        <v>6</v>
      </c>
      <c r="E17" s="9">
        <f t="shared" si="0"/>
        <v>5</v>
      </c>
      <c r="F17" s="9">
        <f t="shared" si="0"/>
        <v>4</v>
      </c>
      <c r="G17" s="9">
        <f t="shared" si="0"/>
        <v>0</v>
      </c>
      <c r="H17" s="9">
        <f t="shared" si="0"/>
        <v>14</v>
      </c>
      <c r="I17" s="9">
        <f t="shared" si="0"/>
        <v>1</v>
      </c>
      <c r="J17" s="9">
        <f t="shared" si="0"/>
        <v>0</v>
      </c>
    </row>
    <row r="19" spans="1:10" x14ac:dyDescent="0.3">
      <c r="A19" s="11" t="s">
        <v>116</v>
      </c>
    </row>
    <row r="20" spans="1:10" x14ac:dyDescent="0.3">
      <c r="A20" s="11" t="s">
        <v>117</v>
      </c>
    </row>
    <row r="21" spans="1:10" x14ac:dyDescent="0.3">
      <c r="A21" s="11" t="s">
        <v>118</v>
      </c>
    </row>
    <row r="22" spans="1:10" x14ac:dyDescent="0.3">
      <c r="A22" s="11" t="s">
        <v>119</v>
      </c>
    </row>
    <row r="23" spans="1:10" x14ac:dyDescent="0.3">
      <c r="A23" s="11" t="s">
        <v>120</v>
      </c>
    </row>
    <row r="24" spans="1:10" x14ac:dyDescent="0.3">
      <c r="A24" s="1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Pranali Dukhande</cp:lastModifiedBy>
  <dcterms:created xsi:type="dcterms:W3CDTF">2026-10-17T11:31:45Z</dcterms:created>
  <dcterms:modified xsi:type="dcterms:W3CDTF">2026-10-17T11:37:10Z</dcterms:modified>
</cp:coreProperties>
</file>