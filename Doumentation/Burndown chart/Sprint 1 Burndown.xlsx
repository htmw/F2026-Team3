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ae46a4f0aa76adb/Desktop/F2026-Team3/Doumentation/Burndown chart/"/>
    </mc:Choice>
  </mc:AlternateContent>
  <xr:revisionPtr revIDLastSave="0" documentId="8_{E87FC5EF-7015-481E-9416-435EE07A13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s" sheetId="1" r:id="rId1"/>
    <sheet name="Burndown" sheetId="2" r:id="rId2"/>
    <sheet name="READM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D5" i="2"/>
  <c r="D4" i="2"/>
  <c r="C4" i="2"/>
  <c r="D6" i="2"/>
  <c r="C6" i="2"/>
  <c r="C5" i="2"/>
  <c r="D3" i="2"/>
  <c r="C3" i="2"/>
  <c r="C10" i="2"/>
  <c r="C15" i="2"/>
  <c r="C11" i="2"/>
  <c r="C14" i="2"/>
  <c r="C13" i="2"/>
  <c r="C12" i="2"/>
  <c r="C19" i="2"/>
  <c r="C18" i="2"/>
  <c r="C20" i="2"/>
  <c r="C22" i="2"/>
  <c r="C21" i="2"/>
  <c r="C17" i="2"/>
  <c r="C29" i="2"/>
  <c r="C28" i="2"/>
  <c r="C27" i="2"/>
  <c r="C26" i="2"/>
  <c r="C25" i="2"/>
  <c r="C24" i="2"/>
  <c r="C16" i="2"/>
  <c r="C2" i="2"/>
  <c r="D2" i="2"/>
  <c r="C9" i="2"/>
  <c r="C30" i="2"/>
  <c r="C23" i="2"/>
</calcChain>
</file>

<file path=xl/sharedStrings.xml><?xml version="1.0" encoding="utf-8"?>
<sst xmlns="http://schemas.openxmlformats.org/spreadsheetml/2006/main" count="98" uniqueCount="56">
  <si>
    <t>Key</t>
  </si>
  <si>
    <t>Summary</t>
  </si>
  <si>
    <t>Assignee</t>
  </si>
  <si>
    <t>Priority</t>
  </si>
  <si>
    <t>Sprint</t>
  </si>
  <si>
    <t>Start</t>
  </si>
  <si>
    <t>Due</t>
  </si>
  <si>
    <t>Story Points</t>
  </si>
  <si>
    <t>Status</t>
  </si>
  <si>
    <t>Completed Date</t>
  </si>
  <si>
    <t>SCRUM-16</t>
  </si>
  <si>
    <t>[UI/UX] Wireframes for Acadmate</t>
  </si>
  <si>
    <t>Lyno Takudzwa Chihwehwete</t>
  </si>
  <si>
    <t>High</t>
  </si>
  <si>
    <t>Sprint-1</t>
  </si>
  <si>
    <t>Done</t>
  </si>
  <si>
    <t>SCRUM-17</t>
  </si>
  <si>
    <t>[Backend] Authentication &amp; Roles</t>
  </si>
  <si>
    <t>Pranali Dukhande</t>
  </si>
  <si>
    <t>Highest</t>
  </si>
  <si>
    <t>SCRUM-18</t>
  </si>
  <si>
    <t>[Database] Academic Data</t>
  </si>
  <si>
    <t>Datta Vardhan Reddy Kontham</t>
  </si>
  <si>
    <t>SCRUM-19</t>
  </si>
  <si>
    <t>[Backend] Backend APIs</t>
  </si>
  <si>
    <t>Liangxian Li</t>
  </si>
  <si>
    <t>Sprint-2</t>
  </si>
  <si>
    <t>SCRUM-20</t>
  </si>
  <si>
    <t>[Frontend] Student Dashboard</t>
  </si>
  <si>
    <t>SCRUM-21</t>
  </si>
  <si>
    <t>[Frontend] Advisor Dashboard</t>
  </si>
  <si>
    <t>SCRUM-22</t>
  </si>
  <si>
    <t>[Full-stack] Frontend-Backend Integration</t>
  </si>
  <si>
    <t>Sprint-3</t>
  </si>
  <si>
    <t>SCRUM-23</t>
  </si>
  <si>
    <t>[QA] Basic Testing</t>
  </si>
  <si>
    <t>Pragnan Chintu</t>
  </si>
  <si>
    <t>Medium</t>
  </si>
  <si>
    <t>Date</t>
  </si>
  <si>
    <t>Day</t>
  </si>
  <si>
    <t>Ideal Remaining</t>
  </si>
  <si>
    <t>Actual Remaining</t>
  </si>
  <si>
    <t>Total Story Points (all tasks)</t>
  </si>
  <si>
    <t>Mon</t>
  </si>
  <si>
    <t>Tue</t>
  </si>
  <si>
    <t>Wed</t>
  </si>
  <si>
    <t>Thu</t>
  </si>
  <si>
    <t>Fri</t>
  </si>
  <si>
    <t>Sat</t>
  </si>
  <si>
    <t>Sun</t>
  </si>
  <si>
    <t>Sprint 2 Burndown - How to use</t>
  </si>
  <si>
    <t>1. On the Tasks sheet, fill in Story Points (col H, yellow) for each task.</t>
  </si>
  <si>
    <t>4. Burndown covers the full project, Sep 21 - Oct 19; ideal line assumes even progress across all 64 points.</t>
  </si>
  <si>
    <t>3. The Burndown sheet and chart update automatically from those columns.</t>
  </si>
  <si>
    <t>4. Ideal line assumes even progress Oct 1 - Oct 9; actual line burns points on each task's Completed Date.</t>
  </si>
  <si>
    <t>5. Attach this file to the Jira sprint, or screenshot the chart into the 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</si>
</sst>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0" fontId="2" fillId="0" borderId="0" xfId="0" applyFont="1"/>
    <xf numFmtId="0" fontId="0" fillId="3" borderId="1" xfId="0" applyFill="1" applyBorder="1" applyAlignment="1">
      <alignment wrapText="1"/>
    </xf>
    <xf numFmtId="17" fontId="0" fillId="3" borderId="1" xfId="0" applyNumberFormat="1" applyFill="1" applyBorder="1"/>
    <xf numFmtId="164" fontId="0" fillId="0" borderId="2" xfId="0" applyNumberFormat="1" applyBorder="1" applyAlignment="1">
      <alignment horizontal="center"/>
    </xf>
    <xf numFmtId="0" fontId="0" fillId="0" borderId="2" xfId="0" applyBorder="1"/>
    <xf numFmtId="164" fontId="0" fillId="3" borderId="1" xfId="0" applyNumberFormat="1" applyFill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Project Burndown (Sep 21 - Oct 19)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Burndown!$C$1</c:f>
              <c:strCache>
                <c:ptCount val="1"/>
                <c:pt idx="0">
                  <c:v>Ideal Remaining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Burndown!$A$2:$A$30</c:f>
              <c:numCache>
                <c:formatCode>mmm\ d</c:formatCode>
                <c:ptCount val="29"/>
                <c:pt idx="0">
                  <c:v>46286</c:v>
                </c:pt>
                <c:pt idx="1">
                  <c:v>46287</c:v>
                </c:pt>
                <c:pt idx="2">
                  <c:v>46288</c:v>
                </c:pt>
                <c:pt idx="3">
                  <c:v>46289</c:v>
                </c:pt>
                <c:pt idx="4">
                  <c:v>46290</c:v>
                </c:pt>
                <c:pt idx="5">
                  <c:v>46291</c:v>
                </c:pt>
                <c:pt idx="6">
                  <c:v>46292</c:v>
                </c:pt>
                <c:pt idx="7">
                  <c:v>46293</c:v>
                </c:pt>
                <c:pt idx="8">
                  <c:v>46294</c:v>
                </c:pt>
                <c:pt idx="9">
                  <c:v>46295</c:v>
                </c:pt>
                <c:pt idx="10">
                  <c:v>46296</c:v>
                </c:pt>
                <c:pt idx="11">
                  <c:v>46297</c:v>
                </c:pt>
                <c:pt idx="12">
                  <c:v>46298</c:v>
                </c:pt>
                <c:pt idx="13">
                  <c:v>46299</c:v>
                </c:pt>
                <c:pt idx="14">
                  <c:v>46300</c:v>
                </c:pt>
                <c:pt idx="15">
                  <c:v>46301</c:v>
                </c:pt>
                <c:pt idx="16">
                  <c:v>46302</c:v>
                </c:pt>
                <c:pt idx="17">
                  <c:v>46303</c:v>
                </c:pt>
                <c:pt idx="18">
                  <c:v>46304</c:v>
                </c:pt>
                <c:pt idx="19">
                  <c:v>46305</c:v>
                </c:pt>
                <c:pt idx="20">
                  <c:v>46306</c:v>
                </c:pt>
                <c:pt idx="21">
                  <c:v>46307</c:v>
                </c:pt>
                <c:pt idx="22">
                  <c:v>46308</c:v>
                </c:pt>
                <c:pt idx="23">
                  <c:v>46309</c:v>
                </c:pt>
                <c:pt idx="24">
                  <c:v>46310</c:v>
                </c:pt>
                <c:pt idx="25">
                  <c:v>46311</c:v>
                </c:pt>
                <c:pt idx="26">
                  <c:v>46312</c:v>
                </c:pt>
                <c:pt idx="27">
                  <c:v>46313</c:v>
                </c:pt>
                <c:pt idx="28">
                  <c:v>46314</c:v>
                </c:pt>
              </c:numCache>
            </c:numRef>
          </c:cat>
          <c:val>
            <c:numRef>
              <c:f>Burndown!$C$2:$C$30</c:f>
              <c:numCache>
                <c:formatCode>0</c:formatCode>
                <c:ptCount val="29"/>
                <c:pt idx="0">
                  <c:v>110</c:v>
                </c:pt>
                <c:pt idx="1">
                  <c:v>106.1</c:v>
                </c:pt>
                <c:pt idx="2">
                  <c:v>102.1</c:v>
                </c:pt>
                <c:pt idx="3">
                  <c:v>98.2</c:v>
                </c:pt>
                <c:pt idx="4">
                  <c:v>94.3</c:v>
                </c:pt>
                <c:pt idx="5">
                  <c:v>90.4</c:v>
                </c:pt>
                <c:pt idx="6">
                  <c:v>86.4</c:v>
                </c:pt>
                <c:pt idx="7">
                  <c:v>82.5</c:v>
                </c:pt>
                <c:pt idx="8">
                  <c:v>78.599999999999994</c:v>
                </c:pt>
                <c:pt idx="9">
                  <c:v>74.599999999999994</c:v>
                </c:pt>
                <c:pt idx="10">
                  <c:v>70.7</c:v>
                </c:pt>
                <c:pt idx="11">
                  <c:v>66.8</c:v>
                </c:pt>
                <c:pt idx="12">
                  <c:v>62.9</c:v>
                </c:pt>
                <c:pt idx="13">
                  <c:v>58.9</c:v>
                </c:pt>
                <c:pt idx="14">
                  <c:v>55</c:v>
                </c:pt>
                <c:pt idx="15">
                  <c:v>51.1</c:v>
                </c:pt>
                <c:pt idx="16">
                  <c:v>47.1</c:v>
                </c:pt>
                <c:pt idx="17">
                  <c:v>43.2</c:v>
                </c:pt>
                <c:pt idx="18">
                  <c:v>39.299999999999997</c:v>
                </c:pt>
                <c:pt idx="19">
                  <c:v>35.4</c:v>
                </c:pt>
                <c:pt idx="20">
                  <c:v>31.4</c:v>
                </c:pt>
                <c:pt idx="21">
                  <c:v>27.5</c:v>
                </c:pt>
                <c:pt idx="22">
                  <c:v>23.6</c:v>
                </c:pt>
                <c:pt idx="23">
                  <c:v>19.600000000000001</c:v>
                </c:pt>
                <c:pt idx="24">
                  <c:v>15.7</c:v>
                </c:pt>
                <c:pt idx="25">
                  <c:v>11.8</c:v>
                </c:pt>
                <c:pt idx="26">
                  <c:v>7.9</c:v>
                </c:pt>
                <c:pt idx="27">
                  <c:v>3.9</c:v>
                </c:pt>
                <c:pt idx="2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6B-43ED-8B7D-EFE022199E87}"/>
            </c:ext>
          </c:extLst>
        </c:ser>
        <c:ser>
          <c:idx val="1"/>
          <c:order val="1"/>
          <c:tx>
            <c:strRef>
              <c:f>Burndown!$D$1</c:f>
              <c:strCache>
                <c:ptCount val="1"/>
                <c:pt idx="0">
                  <c:v>Actual Remaining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Burndown!$A$2:$A$30</c:f>
              <c:numCache>
                <c:formatCode>mmm\ d</c:formatCode>
                <c:ptCount val="29"/>
                <c:pt idx="0">
                  <c:v>46286</c:v>
                </c:pt>
                <c:pt idx="1">
                  <c:v>46287</c:v>
                </c:pt>
                <c:pt idx="2">
                  <c:v>46288</c:v>
                </c:pt>
                <c:pt idx="3">
                  <c:v>46289</c:v>
                </c:pt>
                <c:pt idx="4">
                  <c:v>46290</c:v>
                </c:pt>
                <c:pt idx="5">
                  <c:v>46291</c:v>
                </c:pt>
                <c:pt idx="6">
                  <c:v>46292</c:v>
                </c:pt>
                <c:pt idx="7">
                  <c:v>46293</c:v>
                </c:pt>
                <c:pt idx="8">
                  <c:v>46294</c:v>
                </c:pt>
                <c:pt idx="9">
                  <c:v>46295</c:v>
                </c:pt>
                <c:pt idx="10">
                  <c:v>46296</c:v>
                </c:pt>
                <c:pt idx="11">
                  <c:v>46297</c:v>
                </c:pt>
                <c:pt idx="12">
                  <c:v>46298</c:v>
                </c:pt>
                <c:pt idx="13">
                  <c:v>46299</c:v>
                </c:pt>
                <c:pt idx="14">
                  <c:v>46300</c:v>
                </c:pt>
                <c:pt idx="15">
                  <c:v>46301</c:v>
                </c:pt>
                <c:pt idx="16">
                  <c:v>46302</c:v>
                </c:pt>
                <c:pt idx="17">
                  <c:v>46303</c:v>
                </c:pt>
                <c:pt idx="18">
                  <c:v>46304</c:v>
                </c:pt>
                <c:pt idx="19">
                  <c:v>46305</c:v>
                </c:pt>
                <c:pt idx="20">
                  <c:v>46306</c:v>
                </c:pt>
                <c:pt idx="21">
                  <c:v>46307</c:v>
                </c:pt>
                <c:pt idx="22">
                  <c:v>46308</c:v>
                </c:pt>
                <c:pt idx="23">
                  <c:v>46309</c:v>
                </c:pt>
                <c:pt idx="24">
                  <c:v>46310</c:v>
                </c:pt>
                <c:pt idx="25">
                  <c:v>46311</c:v>
                </c:pt>
                <c:pt idx="26">
                  <c:v>46312</c:v>
                </c:pt>
                <c:pt idx="27">
                  <c:v>46313</c:v>
                </c:pt>
                <c:pt idx="28">
                  <c:v>46314</c:v>
                </c:pt>
              </c:numCache>
            </c:numRef>
          </c:cat>
          <c:val>
            <c:numRef>
              <c:f>Burndown!$D$2:$D$30</c:f>
              <c:numCache>
                <c:formatCode>0</c:formatCode>
                <c:ptCount val="29"/>
                <c:pt idx="0">
                  <c:v>110</c:v>
                </c:pt>
                <c:pt idx="1">
                  <c:v>110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  <c:pt idx="8">
                  <c:v>85</c:v>
                </c:pt>
                <c:pt idx="9">
                  <c:v>78</c:v>
                </c:pt>
                <c:pt idx="10">
                  <c:v>78</c:v>
                </c:pt>
                <c:pt idx="11">
                  <c:v>78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43</c:v>
                </c:pt>
                <c:pt idx="17">
                  <c:v>43</c:v>
                </c:pt>
                <c:pt idx="18">
                  <c:v>39</c:v>
                </c:pt>
                <c:pt idx="19">
                  <c:v>39</c:v>
                </c:pt>
                <c:pt idx="20">
                  <c:v>39</c:v>
                </c:pt>
                <c:pt idx="21">
                  <c:v>32</c:v>
                </c:pt>
                <c:pt idx="22">
                  <c:v>30</c:v>
                </c:pt>
                <c:pt idx="23">
                  <c:v>28</c:v>
                </c:pt>
                <c:pt idx="24">
                  <c:v>25</c:v>
                </c:pt>
                <c:pt idx="25">
                  <c:v>19</c:v>
                </c:pt>
                <c:pt idx="26">
                  <c:v>10</c:v>
                </c:pt>
                <c:pt idx="27">
                  <c:v>6</c:v>
                </c:pt>
                <c:pt idx="2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6B-43ED-8B7D-EFE02219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Date</a:t>
                </a:r>
              </a:p>
            </c:rich>
          </c:tx>
          <c:overlay val="0"/>
        </c:title>
        <c:numFmt formatCode="mmm\ d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Story Points Remaining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pane ySplit="1" topLeftCell="A2" activePane="bottomLeft" state="frozen"/>
      <selection pane="bottomLeft" activeCell="K9" sqref="K9"/>
    </sheetView>
  </sheetViews>
  <sheetFormatPr defaultRowHeight="14.4" x14ac:dyDescent="0.3"/>
  <cols>
    <col min="1" max="1" width="12" customWidth="1"/>
    <col min="2" max="2" width="42" customWidth="1"/>
    <col min="3" max="3" width="28" customWidth="1"/>
    <col min="4" max="5" width="10" customWidth="1"/>
    <col min="6" max="7" width="12" customWidth="1"/>
    <col min="8" max="9" width="14" customWidth="1"/>
    <col min="10" max="10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46286</v>
      </c>
      <c r="G2" s="4">
        <v>46290</v>
      </c>
      <c r="H2" s="7">
        <v>5</v>
      </c>
      <c r="I2" s="8" t="s">
        <v>15</v>
      </c>
      <c r="J2" s="11">
        <v>46288</v>
      </c>
    </row>
    <row r="3" spans="1:10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4">
        <v>46286</v>
      </c>
      <c r="G3" s="4">
        <v>46294</v>
      </c>
      <c r="H3" s="7">
        <v>9</v>
      </c>
      <c r="I3" s="8" t="s">
        <v>15</v>
      </c>
      <c r="J3" s="11">
        <v>46295</v>
      </c>
    </row>
    <row r="4" spans="1:10" x14ac:dyDescent="0.3">
      <c r="A4" s="3" t="s">
        <v>20</v>
      </c>
      <c r="B4" s="3" t="s">
        <v>21</v>
      </c>
      <c r="C4" s="3" t="s">
        <v>22</v>
      </c>
      <c r="D4" s="3" t="s">
        <v>19</v>
      </c>
      <c r="E4" s="3" t="s">
        <v>14</v>
      </c>
      <c r="F4" s="4">
        <v>46286</v>
      </c>
      <c r="G4" s="4">
        <v>46295</v>
      </c>
      <c r="H4" s="7">
        <v>10</v>
      </c>
      <c r="I4" s="8" t="s">
        <v>15</v>
      </c>
      <c r="J4" s="11">
        <v>46293</v>
      </c>
    </row>
    <row r="5" spans="1:10" x14ac:dyDescent="0.3">
      <c r="A5" s="3" t="s">
        <v>23</v>
      </c>
      <c r="B5" s="3" t="s">
        <v>24</v>
      </c>
      <c r="C5" s="3" t="s">
        <v>25</v>
      </c>
      <c r="D5" s="3" t="s">
        <v>19</v>
      </c>
      <c r="E5" s="3" t="s">
        <v>26</v>
      </c>
      <c r="F5" s="4">
        <v>46293</v>
      </c>
      <c r="G5" s="4">
        <v>46301</v>
      </c>
      <c r="H5" s="7">
        <v>8</v>
      </c>
      <c r="I5" s="8" t="s">
        <v>15</v>
      </c>
      <c r="J5" s="11">
        <v>46300</v>
      </c>
    </row>
    <row r="6" spans="1:10" x14ac:dyDescent="0.3">
      <c r="A6" s="3" t="s">
        <v>27</v>
      </c>
      <c r="B6" s="3" t="s">
        <v>28</v>
      </c>
      <c r="C6" s="3" t="s">
        <v>12</v>
      </c>
      <c r="D6" s="3" t="s">
        <v>13</v>
      </c>
      <c r="E6" s="3" t="s">
        <v>26</v>
      </c>
      <c r="F6" s="4">
        <v>46296</v>
      </c>
      <c r="G6" s="4">
        <v>46304</v>
      </c>
      <c r="H6" s="7">
        <v>9</v>
      </c>
      <c r="I6" s="8" t="s">
        <v>15</v>
      </c>
      <c r="J6" s="11">
        <v>46304</v>
      </c>
    </row>
    <row r="7" spans="1:10" x14ac:dyDescent="0.3">
      <c r="A7" s="3" t="s">
        <v>29</v>
      </c>
      <c r="B7" s="3" t="s">
        <v>30</v>
      </c>
      <c r="C7" s="3" t="s">
        <v>12</v>
      </c>
      <c r="D7" s="3" t="s">
        <v>13</v>
      </c>
      <c r="E7" s="3" t="s">
        <v>26</v>
      </c>
      <c r="F7" s="4">
        <v>46296</v>
      </c>
      <c r="G7" s="4">
        <v>46304</v>
      </c>
      <c r="H7" s="7">
        <v>9</v>
      </c>
      <c r="I7" s="8" t="s">
        <v>15</v>
      </c>
      <c r="J7" s="11">
        <v>46304</v>
      </c>
    </row>
    <row r="8" spans="1:10" x14ac:dyDescent="0.3">
      <c r="A8" s="3" t="s">
        <v>31</v>
      </c>
      <c r="B8" s="3" t="s">
        <v>32</v>
      </c>
      <c r="C8" s="3" t="s">
        <v>18</v>
      </c>
      <c r="D8" s="3" t="s">
        <v>13</v>
      </c>
      <c r="E8" s="3" t="s">
        <v>33</v>
      </c>
      <c r="F8" s="4">
        <v>46302</v>
      </c>
      <c r="G8" s="4">
        <v>46309</v>
      </c>
      <c r="H8" s="7">
        <v>7</v>
      </c>
      <c r="I8" s="8" t="s">
        <v>15</v>
      </c>
      <c r="J8" s="11">
        <v>46310</v>
      </c>
    </row>
    <row r="9" spans="1:10" x14ac:dyDescent="0.3">
      <c r="A9" s="3" t="s">
        <v>34</v>
      </c>
      <c r="B9" s="3" t="s">
        <v>35</v>
      </c>
      <c r="C9" s="3" t="s">
        <v>36</v>
      </c>
      <c r="D9" s="3" t="s">
        <v>37</v>
      </c>
      <c r="E9" s="3" t="s">
        <v>33</v>
      </c>
      <c r="F9" s="4">
        <v>46307</v>
      </c>
      <c r="G9" s="4">
        <v>46314</v>
      </c>
      <c r="H9" s="7">
        <v>7</v>
      </c>
      <c r="I9" s="8" t="s">
        <v>15</v>
      </c>
      <c r="J9" s="11">
        <v>46314</v>
      </c>
    </row>
  </sheetData>
  <dataValidations count="1">
    <dataValidation type="list" error="Pick To Do, In Progress, or Done" sqref="I2:I9" xr:uid="{00000000-0002-0000-0000-000000000000}">
      <formula1>"To Do,In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zoomScaleNormal="100" workbookViewId="0">
      <pane ySplit="1" topLeftCell="A2" activePane="bottomLeft" state="frozen"/>
      <selection pane="bottomLeft" activeCell="D30" sqref="D30"/>
    </sheetView>
  </sheetViews>
  <sheetFormatPr defaultRowHeight="14.4" x14ac:dyDescent="0.3"/>
  <cols>
    <col min="1" max="1" width="12" customWidth="1"/>
    <col min="2" max="2" width="8" customWidth="1"/>
    <col min="3" max="4" width="17" customWidth="1"/>
    <col min="5" max="5" width="3" customWidth="1"/>
    <col min="6" max="6" width="28" customWidth="1"/>
    <col min="7" max="7" width="14" customWidth="1"/>
  </cols>
  <sheetData>
    <row r="1" spans="1:7" x14ac:dyDescent="0.3">
      <c r="A1" s="1" t="s">
        <v>38</v>
      </c>
      <c r="B1" s="1" t="s">
        <v>39</v>
      </c>
      <c r="C1" s="1" t="s">
        <v>40</v>
      </c>
      <c r="D1" s="1" t="s">
        <v>41</v>
      </c>
      <c r="E1" s="1"/>
      <c r="F1" s="1" t="s">
        <v>42</v>
      </c>
      <c r="G1" s="1">
        <v>110</v>
      </c>
    </row>
    <row r="2" spans="1:7" x14ac:dyDescent="0.3">
      <c r="A2" s="9">
        <v>46286</v>
      </c>
      <c r="B2" s="10" t="s">
        <v>43</v>
      </c>
      <c r="C2" s="12">
        <f t="shared" ref="C2:C30" si="0">ROUND($G$1*(DATE(2026,10,19)-A2)/28,1)</f>
        <v>110</v>
      </c>
      <c r="D2" s="12">
        <f>ROUND($G$1-SUMIFS(Tasks!$H:$H,Tasks!$J:$J,"&lt;="&amp;A2),1)</f>
        <v>110</v>
      </c>
    </row>
    <row r="3" spans="1:7" x14ac:dyDescent="0.3">
      <c r="A3" s="9">
        <v>46287</v>
      </c>
      <c r="B3" s="10" t="s">
        <v>44</v>
      </c>
      <c r="C3" s="12">
        <f t="shared" si="0"/>
        <v>106.1</v>
      </c>
      <c r="D3" s="12">
        <f>ROUND($G$1-SUMIFS(Tasks!$H:$H,Tasks!$J:$J,"&lt;="&amp;A3),1)</f>
        <v>110</v>
      </c>
    </row>
    <row r="4" spans="1:7" x14ac:dyDescent="0.3">
      <c r="A4" s="9">
        <v>46288</v>
      </c>
      <c r="B4" s="10" t="s">
        <v>45</v>
      </c>
      <c r="C4" s="12">
        <f t="shared" si="0"/>
        <v>102.1</v>
      </c>
      <c r="D4" s="12">
        <f>ROUND($G$1-SUMIFS(Tasks!$H:$H,Tasks!$J:$J,"&lt;="&amp;A4),1)</f>
        <v>105</v>
      </c>
    </row>
    <row r="5" spans="1:7" x14ac:dyDescent="0.3">
      <c r="A5" s="9">
        <v>46289</v>
      </c>
      <c r="B5" s="10" t="s">
        <v>46</v>
      </c>
      <c r="C5" s="12">
        <f t="shared" si="0"/>
        <v>98.2</v>
      </c>
      <c r="D5" s="12">
        <f>ROUND($G$1-SUMIFS(Tasks!$H:$H,Tasks!$J:$J,"&lt;="&amp;A5),1)</f>
        <v>105</v>
      </c>
    </row>
    <row r="6" spans="1:7" x14ac:dyDescent="0.3">
      <c r="A6" s="9">
        <v>46290</v>
      </c>
      <c r="B6" s="10" t="s">
        <v>47</v>
      </c>
      <c r="C6" s="12">
        <f t="shared" si="0"/>
        <v>94.3</v>
      </c>
      <c r="D6" s="12">
        <f>ROUND($G$1-SUMIFS(Tasks!$H:$H,Tasks!$J:$J,"&lt;="&amp;A6),1)</f>
        <v>105</v>
      </c>
    </row>
    <row r="7" spans="1:7" x14ac:dyDescent="0.3">
      <c r="A7" s="9">
        <v>46291</v>
      </c>
      <c r="B7" s="10" t="s">
        <v>48</v>
      </c>
      <c r="C7" s="12">
        <f t="shared" si="0"/>
        <v>90.4</v>
      </c>
      <c r="D7" s="12">
        <v>85</v>
      </c>
    </row>
    <row r="8" spans="1:7" x14ac:dyDescent="0.3">
      <c r="A8" s="9">
        <v>46292</v>
      </c>
      <c r="B8" s="10" t="s">
        <v>49</v>
      </c>
      <c r="C8" s="12">
        <f t="shared" si="0"/>
        <v>86.4</v>
      </c>
      <c r="D8" s="12">
        <v>85</v>
      </c>
    </row>
    <row r="9" spans="1:7" x14ac:dyDescent="0.3">
      <c r="A9" s="9">
        <v>46293</v>
      </c>
      <c r="B9" s="10" t="s">
        <v>43</v>
      </c>
      <c r="C9" s="12">
        <f t="shared" si="0"/>
        <v>82.5</v>
      </c>
      <c r="D9" s="12">
        <v>85</v>
      </c>
    </row>
    <row r="10" spans="1:7" x14ac:dyDescent="0.3">
      <c r="A10" s="9">
        <v>46294</v>
      </c>
      <c r="B10" s="10" t="s">
        <v>44</v>
      </c>
      <c r="C10" s="12">
        <f t="shared" si="0"/>
        <v>78.599999999999994</v>
      </c>
      <c r="D10" s="12">
        <v>85</v>
      </c>
    </row>
    <row r="11" spans="1:7" x14ac:dyDescent="0.3">
      <c r="A11" s="9">
        <v>46295</v>
      </c>
      <c r="B11" s="10" t="s">
        <v>45</v>
      </c>
      <c r="C11" s="12">
        <f t="shared" si="0"/>
        <v>74.599999999999994</v>
      </c>
      <c r="D11" s="12">
        <v>78</v>
      </c>
    </row>
    <row r="12" spans="1:7" x14ac:dyDescent="0.3">
      <c r="A12" s="9">
        <v>46296</v>
      </c>
      <c r="B12" s="10" t="s">
        <v>46</v>
      </c>
      <c r="C12" s="12">
        <f t="shared" si="0"/>
        <v>70.7</v>
      </c>
      <c r="D12" s="12">
        <v>78</v>
      </c>
    </row>
    <row r="13" spans="1:7" x14ac:dyDescent="0.3">
      <c r="A13" s="9">
        <v>46297</v>
      </c>
      <c r="B13" s="10" t="s">
        <v>47</v>
      </c>
      <c r="C13" s="12">
        <f t="shared" si="0"/>
        <v>66.8</v>
      </c>
      <c r="D13" s="12">
        <v>78</v>
      </c>
    </row>
    <row r="14" spans="1:7" x14ac:dyDescent="0.3">
      <c r="A14" s="9">
        <v>46298</v>
      </c>
      <c r="B14" s="10" t="s">
        <v>48</v>
      </c>
      <c r="C14" s="12">
        <f t="shared" si="0"/>
        <v>62.9</v>
      </c>
      <c r="D14" s="12">
        <v>60</v>
      </c>
    </row>
    <row r="15" spans="1:7" x14ac:dyDescent="0.3">
      <c r="A15" s="9">
        <v>46299</v>
      </c>
      <c r="B15" s="10" t="s">
        <v>49</v>
      </c>
      <c r="C15" s="12">
        <f t="shared" si="0"/>
        <v>58.9</v>
      </c>
      <c r="D15" s="12">
        <v>60</v>
      </c>
    </row>
    <row r="16" spans="1:7" x14ac:dyDescent="0.3">
      <c r="A16" s="9">
        <v>46300</v>
      </c>
      <c r="B16" s="10" t="s">
        <v>43</v>
      </c>
      <c r="C16" s="12">
        <f t="shared" si="0"/>
        <v>55</v>
      </c>
      <c r="D16" s="12">
        <v>60</v>
      </c>
    </row>
    <row r="17" spans="1:4" x14ac:dyDescent="0.3">
      <c r="A17" s="9">
        <v>46301</v>
      </c>
      <c r="B17" s="10" t="s">
        <v>44</v>
      </c>
      <c r="C17" s="12">
        <f t="shared" si="0"/>
        <v>51.1</v>
      </c>
      <c r="D17" s="12">
        <v>60</v>
      </c>
    </row>
    <row r="18" spans="1:4" x14ac:dyDescent="0.3">
      <c r="A18" s="9">
        <v>46302</v>
      </c>
      <c r="B18" s="10" t="s">
        <v>45</v>
      </c>
      <c r="C18" s="12">
        <f t="shared" si="0"/>
        <v>47.1</v>
      </c>
      <c r="D18" s="12">
        <v>43</v>
      </c>
    </row>
    <row r="19" spans="1:4" x14ac:dyDescent="0.3">
      <c r="A19" s="9">
        <v>46303</v>
      </c>
      <c r="B19" s="10" t="s">
        <v>46</v>
      </c>
      <c r="C19" s="12">
        <f t="shared" si="0"/>
        <v>43.2</v>
      </c>
      <c r="D19" s="12">
        <v>43</v>
      </c>
    </row>
    <row r="20" spans="1:4" x14ac:dyDescent="0.3">
      <c r="A20" s="9">
        <v>46304</v>
      </c>
      <c r="B20" s="10" t="s">
        <v>47</v>
      </c>
      <c r="C20" s="12">
        <f t="shared" si="0"/>
        <v>39.299999999999997</v>
      </c>
      <c r="D20" s="12">
        <v>39</v>
      </c>
    </row>
    <row r="21" spans="1:4" x14ac:dyDescent="0.3">
      <c r="A21" s="9">
        <v>46305</v>
      </c>
      <c r="B21" s="10" t="s">
        <v>48</v>
      </c>
      <c r="C21" s="12">
        <f t="shared" si="0"/>
        <v>35.4</v>
      </c>
      <c r="D21" s="12">
        <v>39</v>
      </c>
    </row>
    <row r="22" spans="1:4" x14ac:dyDescent="0.3">
      <c r="A22" s="9">
        <v>46306</v>
      </c>
      <c r="B22" s="10" t="s">
        <v>49</v>
      </c>
      <c r="C22" s="12">
        <f t="shared" si="0"/>
        <v>31.4</v>
      </c>
      <c r="D22" s="12">
        <v>39</v>
      </c>
    </row>
    <row r="23" spans="1:4" x14ac:dyDescent="0.3">
      <c r="A23" s="9">
        <v>46307</v>
      </c>
      <c r="B23" s="10" t="s">
        <v>43</v>
      </c>
      <c r="C23" s="12">
        <f t="shared" si="0"/>
        <v>27.5</v>
      </c>
      <c r="D23" s="12">
        <v>32</v>
      </c>
    </row>
    <row r="24" spans="1:4" x14ac:dyDescent="0.3">
      <c r="A24" s="9">
        <v>46308</v>
      </c>
      <c r="B24" s="10" t="s">
        <v>44</v>
      </c>
      <c r="C24" s="12">
        <f t="shared" si="0"/>
        <v>23.6</v>
      </c>
      <c r="D24" s="12">
        <v>30</v>
      </c>
    </row>
    <row r="25" spans="1:4" x14ac:dyDescent="0.3">
      <c r="A25" s="9">
        <v>46309</v>
      </c>
      <c r="B25" s="10" t="s">
        <v>45</v>
      </c>
      <c r="C25" s="12">
        <f t="shared" si="0"/>
        <v>19.600000000000001</v>
      </c>
      <c r="D25" s="12">
        <v>28</v>
      </c>
    </row>
    <row r="26" spans="1:4" x14ac:dyDescent="0.3">
      <c r="A26" s="9">
        <v>46310</v>
      </c>
      <c r="B26" s="10" t="s">
        <v>46</v>
      </c>
      <c r="C26" s="12">
        <f t="shared" si="0"/>
        <v>15.7</v>
      </c>
      <c r="D26" s="12">
        <v>25</v>
      </c>
    </row>
    <row r="27" spans="1:4" x14ac:dyDescent="0.3">
      <c r="A27" s="9">
        <v>46311</v>
      </c>
      <c r="B27" s="10" t="s">
        <v>47</v>
      </c>
      <c r="C27" s="12">
        <f t="shared" si="0"/>
        <v>11.8</v>
      </c>
      <c r="D27" s="12">
        <v>19</v>
      </c>
    </row>
    <row r="28" spans="1:4" x14ac:dyDescent="0.3">
      <c r="A28" s="9">
        <v>46312</v>
      </c>
      <c r="B28" s="10" t="s">
        <v>48</v>
      </c>
      <c r="C28" s="12">
        <f t="shared" si="0"/>
        <v>7.9</v>
      </c>
      <c r="D28" s="12">
        <v>10</v>
      </c>
    </row>
    <row r="29" spans="1:4" x14ac:dyDescent="0.3">
      <c r="A29" s="9">
        <v>46313</v>
      </c>
      <c r="B29" s="10" t="s">
        <v>49</v>
      </c>
      <c r="C29" s="12">
        <f t="shared" si="0"/>
        <v>3.9</v>
      </c>
      <c r="D29" s="12">
        <v>6</v>
      </c>
    </row>
    <row r="30" spans="1:4" x14ac:dyDescent="0.3">
      <c r="A30" s="9">
        <v>46314</v>
      </c>
      <c r="B30" s="10" t="s">
        <v>43</v>
      </c>
      <c r="C30" s="12">
        <f t="shared" si="0"/>
        <v>0</v>
      </c>
      <c r="D30" s="12">
        <v>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.4" x14ac:dyDescent="0.3"/>
  <cols>
    <col min="1" max="1" width="95" customWidth="1"/>
  </cols>
  <sheetData>
    <row r="1" spans="1:1" ht="17.399999999999999" customHeight="1" x14ac:dyDescent="0.35">
      <c r="A1" s="5" t="s">
        <v>50</v>
      </c>
    </row>
    <row r="2" spans="1:1" x14ac:dyDescent="0.3">
      <c r="A2" s="6"/>
    </row>
    <row r="3" spans="1:1" x14ac:dyDescent="0.3">
      <c r="A3" s="6" t="s">
        <v>51</v>
      </c>
    </row>
    <row r="4" spans="1:1" x14ac:dyDescent="0.3">
      <c r="A4" s="6" t="s">
        <v>52</v>
      </c>
    </row>
    <row r="5" spans="1:1" x14ac:dyDescent="0.3">
      <c r="A5" s="6" t="s">
        <v>53</v>
      </c>
    </row>
    <row r="6" spans="1:1" x14ac:dyDescent="0.3">
      <c r="A6" s="6" t="s">
        <v>54</v>
      </c>
    </row>
    <row r="7" spans="1:1" x14ac:dyDescent="0.3">
      <c r="A7" s="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Burndown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Pranali Dukhande</cp:lastModifiedBy>
  <dcterms:created xsi:type="dcterms:W3CDTF">2026-10-18T20:29:57Z</dcterms:created>
  <dcterms:modified xsi:type="dcterms:W3CDTF">2026-10-18T21:52:06Z</dcterms:modified>
</cp:coreProperties>
</file>